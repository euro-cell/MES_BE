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user\Desktop\eurocell-mes-be\data\templates\"/>
    </mc:Choice>
  </mc:AlternateContent>
  <xr:revisionPtr revIDLastSave="0" documentId="13_ncr:1_{098B6339-48F6-47CE-9718-DBE2C5C21638}" xr6:coauthVersionLast="47" xr6:coauthVersionMax="47" xr10:uidLastSave="{00000000-0000-0000-0000-000000000000}"/>
  <bookViews>
    <workbookView xWindow="1560" yWindow="1560" windowWidth="22425" windowHeight="10290" activeTab="1" xr2:uid="{B94CB888-66DB-45FA-8510-A42F0235C97A}"/>
  </bookViews>
  <sheets>
    <sheet name="셀 입출고 확인" sheetId="2" r:id="rId1"/>
    <sheet name="NCR 세부 수량 파악" sheetId="10" r:id="rId2"/>
    <sheet name="프로젝트" sheetId="7" r:id="rId3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0" l="1" a="1"/>
  <c r="F6" i="10" s="1"/>
  <c r="F5" i="10" a="1"/>
  <c r="F5" i="10" s="1"/>
  <c r="F25" i="10" l="1" a="1"/>
  <c r="F25" i="10" s="1"/>
  <c r="F22" i="10" l="1" a="1"/>
  <c r="F22" i="10" s="1"/>
  <c r="F21" i="10" a="1"/>
  <c r="F21" i="10" s="1"/>
  <c r="F20" i="10" a="1"/>
  <c r="F20" i="10" s="1"/>
  <c r="F19" i="10" a="1"/>
  <c r="F19" i="10" s="1"/>
  <c r="F11" i="10" a="1"/>
  <c r="F11" i="10" s="1"/>
  <c r="F10" i="10" a="1"/>
  <c r="F10" i="10" s="1"/>
  <c r="F24" i="10" a="1"/>
  <c r="F24" i="10" s="1"/>
  <c r="F23" i="10" a="1"/>
  <c r="F23" i="10" s="1"/>
  <c r="F18" i="10" a="1"/>
  <c r="F18" i="10" s="1"/>
  <c r="F17" i="10" a="1"/>
  <c r="F17" i="10" s="1"/>
  <c r="F16" i="10" a="1"/>
  <c r="F16" i="10" s="1"/>
  <c r="F15" i="10" a="1"/>
  <c r="F15" i="10" s="1"/>
  <c r="F14" i="10" a="1"/>
  <c r="F14" i="10" s="1"/>
  <c r="F13" i="10" a="1"/>
  <c r="F13" i="10" s="1"/>
  <c r="F12" i="10" a="1"/>
  <c r="F12" i="10" s="1"/>
  <c r="F9" i="10" a="1"/>
  <c r="F9" i="10" s="1"/>
  <c r="F8" i="10" a="1"/>
  <c r="F8" i="10" s="1"/>
  <c r="F7" i="10" a="1"/>
  <c r="F7" i="10" s="1"/>
  <c r="F26" i="10" l="1"/>
  <c r="F27" i="10" l="1"/>
  <c r="G7" i="2" l="1"/>
  <c r="G6" i="2"/>
  <c r="G5" i="2"/>
  <c r="G8" i="2" l="1"/>
  <c r="F7" i="2"/>
  <c r="F6" i="2"/>
  <c r="F5" i="2"/>
  <c r="F8" i="2" l="1"/>
  <c r="E7" i="2" l="1"/>
  <c r="E5" i="2"/>
  <c r="E6" i="2"/>
  <c r="D5" i="2" l="1"/>
  <c r="D8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<sst xmlns="http://schemas.openxmlformats.org/spreadsheetml/2006/main" count="101" uniqueCount="79">
  <si>
    <t>Lot No.</t>
    <phoneticPr fontId="1" type="noConversion"/>
  </si>
  <si>
    <t>프로젝트명</t>
    <phoneticPr fontId="1" type="noConversion"/>
  </si>
  <si>
    <t>출고 일자</t>
    <phoneticPr fontId="1" type="noConversion"/>
  </si>
  <si>
    <t>모델</t>
    <phoneticPr fontId="1" type="noConversion"/>
  </si>
  <si>
    <t>보관 일자</t>
    <phoneticPr fontId="1" type="noConversion"/>
  </si>
  <si>
    <t>보관 위치</t>
    <phoneticPr fontId="1" type="noConversion"/>
  </si>
  <si>
    <t>상세</t>
    <phoneticPr fontId="1" type="noConversion"/>
  </si>
  <si>
    <t>인수자</t>
    <phoneticPr fontId="1" type="noConversion"/>
  </si>
  <si>
    <t>인계자</t>
    <phoneticPr fontId="1" type="noConversion"/>
  </si>
  <si>
    <t>No.</t>
    <phoneticPr fontId="1" type="noConversion"/>
  </si>
  <si>
    <t>Project Name</t>
    <phoneticPr fontId="1" type="noConversion"/>
  </si>
  <si>
    <t>등급</t>
    <phoneticPr fontId="1" type="noConversion"/>
  </si>
  <si>
    <t>Project No.</t>
    <phoneticPr fontId="1" type="noConversion"/>
  </si>
  <si>
    <t>상태</t>
    <phoneticPr fontId="1" type="noConversion"/>
  </si>
  <si>
    <t>재입고</t>
    <phoneticPr fontId="1" type="noConversion"/>
  </si>
  <si>
    <t>보유 수량</t>
    <phoneticPr fontId="1" type="noConversion"/>
  </si>
  <si>
    <t>총 입고량</t>
    <phoneticPr fontId="1" type="noConversion"/>
  </si>
  <si>
    <t>총 출고량</t>
    <phoneticPr fontId="1" type="noConversion"/>
  </si>
  <si>
    <t>총 합</t>
    <phoneticPr fontId="1" type="noConversion"/>
  </si>
  <si>
    <t>프로젝트 별 Cell 입/출고 현황</t>
    <phoneticPr fontId="1" type="noConversion"/>
  </si>
  <si>
    <t>NCR 등급</t>
    <phoneticPr fontId="1" type="noConversion"/>
  </si>
  <si>
    <t>NCR 종류</t>
    <phoneticPr fontId="1" type="noConversion"/>
  </si>
  <si>
    <t>분류</t>
    <phoneticPr fontId="1" type="noConversion"/>
  </si>
  <si>
    <t>NCR1</t>
    <phoneticPr fontId="1" type="noConversion"/>
  </si>
  <si>
    <t>NCR2</t>
  </si>
  <si>
    <t>NCR3</t>
  </si>
  <si>
    <t>NCR4</t>
  </si>
  <si>
    <t>NCR5</t>
  </si>
  <si>
    <t>NCR6</t>
  </si>
  <si>
    <t>Formation</t>
    <phoneticPr fontId="1" type="noConversion"/>
  </si>
  <si>
    <t>NCR7</t>
  </si>
  <si>
    <t>Inspection</t>
    <phoneticPr fontId="1" type="noConversion"/>
  </si>
  <si>
    <t>F-NCR1</t>
    <phoneticPr fontId="1" type="noConversion"/>
  </si>
  <si>
    <t>F-NCR2</t>
  </si>
  <si>
    <t>F-NCR4</t>
  </si>
  <si>
    <t>F-NCR5</t>
  </si>
  <si>
    <t>F-NCR6</t>
  </si>
  <si>
    <t>표기</t>
    <phoneticPr fontId="1" type="noConversion"/>
  </si>
  <si>
    <t>NCR 세부 구분 현황 표</t>
    <phoneticPr fontId="1" type="noConversion"/>
  </si>
  <si>
    <t>세부사항</t>
    <phoneticPr fontId="1" type="noConversion"/>
  </si>
  <si>
    <t>NCR</t>
    <phoneticPr fontId="1" type="noConversion"/>
  </si>
  <si>
    <t>창고 내 총 셀 수량</t>
    <phoneticPr fontId="1" type="noConversion"/>
  </si>
  <si>
    <t>기타</t>
    <phoneticPr fontId="1" type="noConversion"/>
  </si>
  <si>
    <t>UFC(V5.2)</t>
    <phoneticPr fontId="1" type="noConversion"/>
  </si>
  <si>
    <t>NCR 총 합</t>
    <phoneticPr fontId="1" type="noConversion"/>
  </si>
  <si>
    <t>양품</t>
    <phoneticPr fontId="1" type="noConversion"/>
  </si>
  <si>
    <t>NG</t>
    <phoneticPr fontId="1" type="noConversion"/>
  </si>
  <si>
    <t>파우치 크랙</t>
    <phoneticPr fontId="1" type="noConversion"/>
  </si>
  <si>
    <t>F-NCR7</t>
  </si>
  <si>
    <t>F-NCR8</t>
  </si>
  <si>
    <t>NCR8</t>
  </si>
  <si>
    <t>NCR9</t>
  </si>
  <si>
    <t>NCR10</t>
  </si>
  <si>
    <t>NCR11</t>
  </si>
  <si>
    <t>PF 방전용량(Ah)</t>
  </si>
  <si>
    <t>Final 실링 두께(㎛)</t>
  </si>
  <si>
    <t>MF 충전용량(Ah)</t>
  </si>
  <si>
    <t>MF OCV1(aging 전, V)</t>
  </si>
  <si>
    <t>MF OCV2(aging 후, V)</t>
  </si>
  <si>
    <t>MF OCV2 △V(OCV2-OCV1, V)</t>
  </si>
  <si>
    <t>MF 방전용량(Ah)</t>
  </si>
  <si>
    <t>기준용량(Ah)</t>
  </si>
  <si>
    <t>출하충전 OCV3(V)</t>
  </si>
  <si>
    <t>보관 후 출하 OCV4 △V ratio(mV/month)</t>
  </si>
  <si>
    <t>가스 발생 육안검사(여/부, 흔들림 지점)</t>
  </si>
  <si>
    <t>파우치 표면 돌출(직경≤2mm) 수량(개)</t>
  </si>
  <si>
    <t>파우치 표면 긁힘(폭≤0.5mm, 길이＞1mm) 수량(개)</t>
  </si>
  <si>
    <t>파우치 표면 찍힘(직경≤1mm) 수량(개)</t>
  </si>
  <si>
    <t>누액 및 부식(여/부)</t>
  </si>
  <si>
    <t>전지 size(폭, ㎜)</t>
  </si>
  <si>
    <t>전지 두께(mm)</t>
  </si>
  <si>
    <t>전지 무게(g)</t>
  </si>
  <si>
    <t>NCR1</t>
  </si>
  <si>
    <t>기타-1</t>
    <phoneticPr fontId="1" type="noConversion"/>
  </si>
  <si>
    <t>기타-2</t>
    <phoneticPr fontId="1" type="noConversion"/>
  </si>
  <si>
    <t>실란트 돌출 후 화성 진행 셀</t>
    <phoneticPr fontId="1" type="noConversion"/>
  </si>
  <si>
    <t>Final 실링 Cutting 폭(mm)</t>
    <phoneticPr fontId="1" type="noConversion"/>
  </si>
  <si>
    <t>F-NCR3</t>
    <phoneticPr fontId="1" type="noConversion"/>
  </si>
  <si>
    <t>출고 현황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</si>
</sst>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2"/>
      <color rgb="FF0070C0"/>
      <name val="맑은 고딕"/>
      <family val="3"/>
      <charset val="129"/>
      <scheme val="minor"/>
    </font>
    <font>
      <sz val="12"/>
      <color rgb="FFC0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3" fillId="0" borderId="0" xfId="0" applyFo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6" fillId="0" borderId="1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4" fillId="0" borderId="1" xfId="1" applyFont="1" applyBorder="1" applyAlignment="1">
      <alignment horizontal="center" vertical="center"/>
    </xf>
    <xf numFmtId="41" fontId="3" fillId="0" borderId="6" xfId="1" applyFont="1" applyBorder="1" applyAlignment="1">
      <alignment horizontal="center" vertical="center"/>
    </xf>
    <xf numFmtId="41" fontId="7" fillId="3" borderId="11" xfId="1" applyFont="1" applyFill="1" applyBorder="1" applyAlignment="1">
      <alignment horizontal="center" vertical="center"/>
    </xf>
    <xf numFmtId="41" fontId="7" fillId="3" borderId="4" xfId="1" applyFont="1" applyFill="1" applyBorder="1" applyAlignment="1">
      <alignment horizontal="center" vertical="center"/>
    </xf>
    <xf numFmtId="41" fontId="0" fillId="0" borderId="6" xfId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41" fontId="0" fillId="0" borderId="3" xfId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41" fontId="0" fillId="0" borderId="4" xfId="1" applyFont="1" applyBorder="1" applyAlignment="1">
      <alignment horizontal="center" vertical="center"/>
    </xf>
    <xf numFmtId="41" fontId="9" fillId="3" borderId="14" xfId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9" fillId="3" borderId="20" xfId="1" applyNumberFormat="1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1" fontId="7" fillId="3" borderId="12" xfId="1" applyFont="1" applyFill="1" applyBorder="1" applyAlignment="1">
      <alignment horizontal="center" vertical="center"/>
    </xf>
    <xf numFmtId="41" fontId="7" fillId="3" borderId="16" xfId="1" applyFont="1" applyFill="1" applyBorder="1" applyAlignment="1">
      <alignment horizontal="center" vertical="center"/>
    </xf>
    <xf numFmtId="41" fontId="7" fillId="3" borderId="17" xfId="1" applyFont="1" applyFill="1" applyBorder="1" applyAlignment="1">
      <alignment vertical="center"/>
    </xf>
    <xf numFmtId="41" fontId="7" fillId="3" borderId="16" xfId="1" applyFont="1" applyFill="1" applyBorder="1" applyAlignment="1">
      <alignment vertical="center"/>
    </xf>
    <xf numFmtId="41" fontId="4" fillId="3" borderId="1" xfId="1" applyFont="1" applyFill="1" applyBorder="1" applyAlignment="1">
      <alignment horizontal="center" vertical="center"/>
    </xf>
    <xf numFmtId="41" fontId="3" fillId="0" borderId="5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FCC00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3D8F0-FAE8-4A31-B15E-887AF3A466A0}">
  <sheetPr codeName="Sheet2"/>
  <dimension ref="A1:H8"/>
  <sheetViews>
    <sheetView showGridLines="0" zoomScale="70" zoomScaleNormal="70" workbookViewId="0">
      <selection activeCell="C20" sqref="C20"/>
    </sheetView>
  </sheetViews>
  <sheetFormatPr defaultRowHeight="16.5" x14ac:dyDescent="0.3"/>
  <cols>
    <col min="1" max="1" width="8.375" customWidth="1"/>
    <col min="2" max="8" width="14.625" style="1" customWidth="1"/>
  </cols>
  <sheetData>
    <row r="1" spans="1:8" ht="17.25" x14ac:dyDescent="0.3">
      <c r="A1" s="8"/>
      <c r="B1" s="11"/>
      <c r="C1" s="11"/>
      <c r="D1" s="11"/>
      <c r="E1" s="11"/>
      <c r="F1" s="12"/>
      <c r="G1" s="11"/>
      <c r="H1" s="11"/>
    </row>
    <row r="2" spans="1:8" ht="18" thickBot="1" x14ac:dyDescent="0.35">
      <c r="A2" s="8"/>
      <c r="B2" s="11"/>
      <c r="C2" s="11"/>
      <c r="D2" s="11"/>
      <c r="E2" s="11"/>
      <c r="F2" s="12"/>
      <c r="G2" s="11"/>
      <c r="H2" s="11"/>
    </row>
    <row r="3" spans="1:8" ht="18" thickBot="1" x14ac:dyDescent="0.35">
      <c r="A3" s="8"/>
      <c r="B3" s="35" t="s">
        <v>19</v>
      </c>
      <c r="C3" s="36"/>
      <c r="D3" s="36"/>
      <c r="E3" s="36"/>
      <c r="F3" s="36"/>
      <c r="G3" s="36"/>
      <c r="H3" s="37"/>
    </row>
    <row r="4" spans="1:8" ht="17.25" x14ac:dyDescent="0.3">
      <c r="A4" s="8"/>
      <c r="B4" s="9" t="s">
        <v>10</v>
      </c>
      <c r="C4" s="10" t="s">
        <v>11</v>
      </c>
      <c r="D4" s="10" t="s">
        <v>18</v>
      </c>
      <c r="E4" s="13" t="s">
        <v>15</v>
      </c>
      <c r="F4" s="10" t="s">
        <v>16</v>
      </c>
      <c r="G4" s="10" t="s">
        <v>17</v>
      </c>
      <c r="H4" s="15" t="s">
        <v>42</v>
      </c>
    </row>
    <row r="5" spans="1:8" ht="17.25" x14ac:dyDescent="0.3">
      <c r="A5" s="8"/>
      <c r="B5" s="43" t="s">
        <v>43</v>
      </c>
      <c r="C5" s="16" t="s">
        <v>45</v>
      </c>
      <c r="D5" s="42" t="e">
        <f>E5+E6+E7</f>
        <v>#REF!</v>
      </c>
      <c r="E5" s="17" t="e">
        <f>F5-G5</f>
        <v>#REF!</v>
      </c>
      <c r="F5" s="18" t="e">
        <f>COUNTIFS(#REF!,"양품",#REF!,"V5.2")</f>
        <v>#REF!</v>
      </c>
      <c r="G5" s="19" t="e">
        <f>COUNTIFS(#REF!,"양품",#REF!,"&lt;&gt;",#REF!,"V5.2")</f>
        <v>#REF!</v>
      </c>
      <c r="H5" s="20"/>
    </row>
    <row r="6" spans="1:8" ht="17.25" x14ac:dyDescent="0.3">
      <c r="A6" s="8"/>
      <c r="B6" s="43"/>
      <c r="C6" s="16" t="s">
        <v>40</v>
      </c>
      <c r="D6" s="42"/>
      <c r="E6" s="17" t="e">
        <f t="shared" ref="E6:E7" si="0">F6-G6</f>
        <v>#REF!</v>
      </c>
      <c r="F6" s="18" t="e">
        <f>COUNTIFS(#REF!,"NCR",#REF!,"V5.2")</f>
        <v>#REF!</v>
      </c>
      <c r="G6" s="19" t="e">
        <f>COUNTIFS(#REF!,"NCR",#REF!,"&lt;&gt;",#REF!,"V5.2")</f>
        <v>#REF!</v>
      </c>
      <c r="H6" s="20"/>
    </row>
    <row r="7" spans="1:8" ht="17.25" x14ac:dyDescent="0.3">
      <c r="A7" s="8"/>
      <c r="B7" s="43"/>
      <c r="C7" s="16" t="s">
        <v>46</v>
      </c>
      <c r="D7" s="42"/>
      <c r="E7" s="17" t="e">
        <f t="shared" si="0"/>
        <v>#REF!</v>
      </c>
      <c r="F7" s="18" t="e">
        <f>COUNTIFS(#REF!,"NG",#REF!,"V5.2")</f>
        <v>#REF!</v>
      </c>
      <c r="G7" s="19" t="e">
        <f>COUNTIFS(#REF!,"NG",#REF!,"&lt;&gt;",#REF!,"V5.2")</f>
        <v>#REF!</v>
      </c>
      <c r="H7" s="20"/>
    </row>
    <row r="8" spans="1:8" ht="18" thickBot="1" x14ac:dyDescent="0.35">
      <c r="B8" s="38" t="s">
        <v>41</v>
      </c>
      <c r="C8" s="39"/>
      <c r="D8" s="40" t="e">
        <f>SUM(D5:D7)</f>
        <v>#REF!</v>
      </c>
      <c r="E8" s="41"/>
      <c r="F8" s="21" t="e">
        <f>SUM(F5:F7)</f>
        <v>#REF!</v>
      </c>
      <c r="G8" s="21" t="e">
        <f>SUM(G5:G7)</f>
        <v>#REF!</v>
      </c>
      <c r="H8" s="22"/>
    </row>
  </sheetData>
  <mergeCells count="5">
    <mergeCell ref="B3:H3"/>
    <mergeCell ref="B8:C8"/>
    <mergeCell ref="D8:E8"/>
    <mergeCell ref="D5:D7"/>
    <mergeCell ref="B5:B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B4AC-D346-47DB-A7F7-111853194625}">
  <sheetPr codeName="Sheet7"/>
  <dimension ref="B1:T27"/>
  <sheetViews>
    <sheetView tabSelected="1" zoomScale="80" zoomScaleNormal="80" workbookViewId="0">
      <selection activeCell="N11" sqref="N11"/>
    </sheetView>
  </sheetViews>
  <sheetFormatPr defaultRowHeight="16.5" x14ac:dyDescent="0.3"/>
  <cols>
    <col min="2" max="2" width="17.25" style="1" customWidth="1"/>
    <col min="3" max="3" width="15.5" style="1" customWidth="1"/>
    <col min="4" max="4" width="41.25" style="1" bestFit="1" customWidth="1"/>
    <col min="5" max="5" width="10.625" style="1" customWidth="1"/>
    <col min="6" max="6" width="15.625" style="1" customWidth="1"/>
    <col min="7" max="7" width="2" style="1" customWidth="1"/>
    <col min="8" max="20" width="9" style="60"/>
  </cols>
  <sheetData>
    <row r="1" spans="2:6" ht="17.25" thickBot="1" x14ac:dyDescent="0.35"/>
    <row r="2" spans="2:6" ht="18" thickBot="1" x14ac:dyDescent="0.35">
      <c r="B2" s="51" t="s">
        <v>38</v>
      </c>
      <c r="C2" s="52"/>
      <c r="D2" s="52"/>
      <c r="E2" s="52"/>
      <c r="F2" s="53"/>
    </row>
    <row r="3" spans="2:6" x14ac:dyDescent="0.3">
      <c r="B3" s="54" t="s">
        <v>22</v>
      </c>
      <c r="C3" s="56" t="s">
        <v>21</v>
      </c>
      <c r="D3" s="56" t="s">
        <v>39</v>
      </c>
      <c r="E3" s="58" t="s">
        <v>37</v>
      </c>
      <c r="F3" s="31"/>
    </row>
    <row r="4" spans="2:6" ht="17.25" thickBot="1" x14ac:dyDescent="0.35">
      <c r="B4" s="55"/>
      <c r="C4" s="57"/>
      <c r="D4" s="57"/>
      <c r="E4" s="59"/>
      <c r="F4" s="32"/>
    </row>
    <row r="5" spans="2:6" x14ac:dyDescent="0.3">
      <c r="B5" s="44" t="s">
        <v>29</v>
      </c>
      <c r="C5" s="25" t="s">
        <v>23</v>
      </c>
      <c r="D5" s="25" t="s">
        <v>54</v>
      </c>
      <c r="E5" s="26" t="s">
        <v>32</v>
      </c>
      <c r="F5" s="27" t="e" cm="1">
        <f t="array" ref="F5">SUMPRODUCT((#REF!="V5.2")*(LEFT(#REF!,6)='NCR 세부 수량 파악'!E5))</f>
        <v>#REF!</v>
      </c>
    </row>
    <row r="6" spans="2:6" x14ac:dyDescent="0.3">
      <c r="B6" s="45"/>
      <c r="C6" s="2" t="s">
        <v>24</v>
      </c>
      <c r="D6" s="2" t="s">
        <v>55</v>
      </c>
      <c r="E6" s="14" t="s">
        <v>33</v>
      </c>
      <c r="F6" s="23" t="e" cm="1">
        <f t="array" ref="F6">SUMPRODUCT((#REF!="V5.2")*(LEFT(#REF!,6)='NCR 세부 수량 파악'!E6))</f>
        <v>#REF!</v>
      </c>
    </row>
    <row r="7" spans="2:6" x14ac:dyDescent="0.3">
      <c r="B7" s="45"/>
      <c r="C7" s="2" t="s">
        <v>25</v>
      </c>
      <c r="D7" s="2" t="s">
        <v>76</v>
      </c>
      <c r="E7" s="14" t="s">
        <v>77</v>
      </c>
      <c r="F7" s="23" t="e" cm="1">
        <f t="array" ref="F7">SUMPRODUCT((#REF!="V5.2")*(LEFT(#REF!,6)='NCR 세부 수량 파악'!E7))</f>
        <v>#REF!</v>
      </c>
    </row>
    <row r="8" spans="2:6" x14ac:dyDescent="0.3">
      <c r="B8" s="45"/>
      <c r="C8" s="2" t="s">
        <v>26</v>
      </c>
      <c r="D8" s="2" t="s">
        <v>56</v>
      </c>
      <c r="E8" s="14" t="s">
        <v>34</v>
      </c>
      <c r="F8" s="23" t="e" cm="1">
        <f t="array" ref="F8">SUMPRODUCT((#REF!="V5.2")*(LEFT(#REF!,6)='NCR 세부 수량 파악'!E8))</f>
        <v>#REF!</v>
      </c>
    </row>
    <row r="9" spans="2:6" x14ac:dyDescent="0.3">
      <c r="B9" s="45"/>
      <c r="C9" s="2" t="s">
        <v>27</v>
      </c>
      <c r="D9" s="2" t="s">
        <v>57</v>
      </c>
      <c r="E9" s="14" t="s">
        <v>35</v>
      </c>
      <c r="F9" s="23" t="e" cm="1">
        <f t="array" ref="F9">SUMPRODUCT((#REF!="V5.2")*(LEFT(#REF!,6)='NCR 세부 수량 파악'!E9))</f>
        <v>#REF!</v>
      </c>
    </row>
    <row r="10" spans="2:6" x14ac:dyDescent="0.3">
      <c r="B10" s="45"/>
      <c r="C10" s="2" t="s">
        <v>28</v>
      </c>
      <c r="D10" s="2" t="s">
        <v>58</v>
      </c>
      <c r="E10" s="14" t="s">
        <v>36</v>
      </c>
      <c r="F10" s="23" t="e" cm="1">
        <f t="array" ref="F10">SUMPRODUCT((#REF!="V5.2")*(LEFT(#REF!,6)='NCR 세부 수량 파악'!E10))</f>
        <v>#REF!</v>
      </c>
    </row>
    <row r="11" spans="2:6" x14ac:dyDescent="0.3">
      <c r="B11" s="45"/>
      <c r="C11" s="2" t="s">
        <v>30</v>
      </c>
      <c r="D11" s="2" t="s">
        <v>59</v>
      </c>
      <c r="E11" s="14" t="s">
        <v>48</v>
      </c>
      <c r="F11" s="23" t="e" cm="1">
        <f t="array" ref="F11">SUMPRODUCT((#REF!="V5.2")*(LEFT(#REF!,6)='NCR 세부 수량 파악'!E11))</f>
        <v>#REF!</v>
      </c>
    </row>
    <row r="12" spans="2:6" ht="17.25" thickBot="1" x14ac:dyDescent="0.35">
      <c r="B12" s="46"/>
      <c r="C12" s="24" t="s">
        <v>50</v>
      </c>
      <c r="D12" s="24" t="s">
        <v>60</v>
      </c>
      <c r="E12" s="28" t="s">
        <v>49</v>
      </c>
      <c r="F12" s="29" t="e" cm="1">
        <f t="array" ref="F12">SUMPRODUCT((#REF!="V5.2")*(LEFT(#REF!,6)='NCR 세부 수량 파악'!E12))</f>
        <v>#REF!</v>
      </c>
    </row>
    <row r="13" spans="2:6" x14ac:dyDescent="0.3">
      <c r="B13" s="44" t="s">
        <v>31</v>
      </c>
      <c r="C13" s="25" t="s">
        <v>23</v>
      </c>
      <c r="D13" s="25" t="s">
        <v>61</v>
      </c>
      <c r="E13" s="26" t="s">
        <v>72</v>
      </c>
      <c r="F13" s="27" t="e" cm="1">
        <f t="array" ref="F13">SUMPRODUCT((#REF!="V5.2")*(LEFT(#REF!,6)='NCR 세부 수량 파악'!E13))</f>
        <v>#REF!</v>
      </c>
    </row>
    <row r="14" spans="2:6" x14ac:dyDescent="0.3">
      <c r="B14" s="45"/>
      <c r="C14" s="2" t="s">
        <v>24</v>
      </c>
      <c r="D14" s="2" t="s">
        <v>62</v>
      </c>
      <c r="E14" s="14" t="s">
        <v>24</v>
      </c>
      <c r="F14" s="23" t="e" cm="1">
        <f t="array" ref="F14">SUMPRODUCT((#REF!="V5.2")*(LEFT(#REF!,6)='NCR 세부 수량 파악'!E14))</f>
        <v>#REF!</v>
      </c>
    </row>
    <row r="15" spans="2:6" x14ac:dyDescent="0.3">
      <c r="B15" s="45"/>
      <c r="C15" s="2" t="s">
        <v>25</v>
      </c>
      <c r="D15" s="2" t="s">
        <v>63</v>
      </c>
      <c r="E15" s="14" t="s">
        <v>25</v>
      </c>
      <c r="F15" s="23" t="e" cm="1">
        <f t="array" ref="F15">SUMPRODUCT((#REF!="V5.2")*(LEFT(#REF!,6)='NCR 세부 수량 파악'!E15))</f>
        <v>#REF!</v>
      </c>
    </row>
    <row r="16" spans="2:6" x14ac:dyDescent="0.3">
      <c r="B16" s="45"/>
      <c r="C16" s="2" t="s">
        <v>26</v>
      </c>
      <c r="D16" s="2" t="s">
        <v>64</v>
      </c>
      <c r="E16" s="14" t="s">
        <v>26</v>
      </c>
      <c r="F16" s="23" t="e" cm="1">
        <f t="array" ref="F16">SUMPRODUCT((#REF!="V5.2")*(LEFT(#REF!,6)='NCR 세부 수량 파악'!E16))</f>
        <v>#REF!</v>
      </c>
    </row>
    <row r="17" spans="2:6" x14ac:dyDescent="0.3">
      <c r="B17" s="45"/>
      <c r="C17" s="2" t="s">
        <v>27</v>
      </c>
      <c r="D17" s="2" t="s">
        <v>65</v>
      </c>
      <c r="E17" s="14" t="s">
        <v>27</v>
      </c>
      <c r="F17" s="23" t="e" cm="1">
        <f t="array" ref="F17">SUMPRODUCT((#REF!="V5.2")*(LEFT(#REF!,6)='NCR 세부 수량 파악'!E17))</f>
        <v>#REF!</v>
      </c>
    </row>
    <row r="18" spans="2:6" x14ac:dyDescent="0.3">
      <c r="B18" s="45"/>
      <c r="C18" s="2" t="s">
        <v>28</v>
      </c>
      <c r="D18" s="33" t="s">
        <v>66</v>
      </c>
      <c r="E18" s="14" t="s">
        <v>28</v>
      </c>
      <c r="F18" s="23" t="e" cm="1">
        <f t="array" ref="F18">SUMPRODUCT((#REF!="V5.2")*(LEFT(#REF!,6)='NCR 세부 수량 파악'!E18))</f>
        <v>#REF!</v>
      </c>
    </row>
    <row r="19" spans="2:6" x14ac:dyDescent="0.3">
      <c r="B19" s="45"/>
      <c r="C19" s="2" t="s">
        <v>30</v>
      </c>
      <c r="D19" s="2" t="s">
        <v>67</v>
      </c>
      <c r="E19" s="14" t="s">
        <v>30</v>
      </c>
      <c r="F19" s="23" t="e" cm="1">
        <f t="array" ref="F19">SUMPRODUCT((#REF!="V5.2")*(LEFT(#REF!,6)='NCR 세부 수량 파악'!E19))</f>
        <v>#REF!</v>
      </c>
    </row>
    <row r="20" spans="2:6" x14ac:dyDescent="0.3">
      <c r="B20" s="45"/>
      <c r="C20" s="2" t="s">
        <v>50</v>
      </c>
      <c r="D20" s="2" t="s">
        <v>68</v>
      </c>
      <c r="E20" s="14" t="s">
        <v>50</v>
      </c>
      <c r="F20" s="23" t="e" cm="1">
        <f t="array" ref="F20">SUMPRODUCT((#REF!="V5.2")*(LEFT(#REF!,6)='NCR 세부 수량 파악'!E20))</f>
        <v>#REF!</v>
      </c>
    </row>
    <row r="21" spans="2:6" x14ac:dyDescent="0.3">
      <c r="B21" s="45"/>
      <c r="C21" s="2" t="s">
        <v>51</v>
      </c>
      <c r="D21" s="2" t="s">
        <v>69</v>
      </c>
      <c r="E21" s="14" t="s">
        <v>51</v>
      </c>
      <c r="F21" s="23" t="e" cm="1">
        <f t="array" ref="F21">SUMPRODUCT((#REF!="V5.2")*(LEFT(#REF!,6)='NCR 세부 수량 파악'!E21))</f>
        <v>#REF!</v>
      </c>
    </row>
    <row r="22" spans="2:6" x14ac:dyDescent="0.3">
      <c r="B22" s="45"/>
      <c r="C22" s="2" t="s">
        <v>52</v>
      </c>
      <c r="D22" s="2" t="s">
        <v>70</v>
      </c>
      <c r="E22" s="14" t="s">
        <v>52</v>
      </c>
      <c r="F22" s="23" t="e" cm="1">
        <f t="array" ref="F22">SUMPRODUCT((#REF!="V5.2")*(LEFT(#REF!,6)='NCR 세부 수량 파악'!E22))</f>
        <v>#REF!</v>
      </c>
    </row>
    <row r="23" spans="2:6" ht="17.25" thickBot="1" x14ac:dyDescent="0.35">
      <c r="B23" s="45"/>
      <c r="C23" s="24" t="s">
        <v>53</v>
      </c>
      <c r="D23" s="24" t="s">
        <v>71</v>
      </c>
      <c r="E23" s="28" t="s">
        <v>53</v>
      </c>
      <c r="F23" s="29" t="e" cm="1">
        <f t="array" ref="F23">SUMPRODUCT((#REF!="V5.2")*(LEFT(#REF!,6)='NCR 세부 수량 파악'!E23))</f>
        <v>#REF!</v>
      </c>
    </row>
    <row r="24" spans="2:6" x14ac:dyDescent="0.3">
      <c r="B24" s="45"/>
      <c r="C24" s="2" t="s">
        <v>42</v>
      </c>
      <c r="D24" s="2" t="s">
        <v>47</v>
      </c>
      <c r="E24" s="14" t="s">
        <v>73</v>
      </c>
      <c r="F24" s="23" t="e" cm="1">
        <f t="array" ref="F24">SUMPRODUCT((#REF!="V5.2")*(LEFT(#REF!,6)='NCR 세부 수량 파악'!E24))</f>
        <v>#REF!</v>
      </c>
    </row>
    <row r="25" spans="2:6" ht="17.25" thickBot="1" x14ac:dyDescent="0.35">
      <c r="B25" s="46"/>
      <c r="C25" s="2" t="s">
        <v>42</v>
      </c>
      <c r="D25" s="2" t="s">
        <v>75</v>
      </c>
      <c r="E25" s="14" t="s">
        <v>74</v>
      </c>
      <c r="F25" s="23" t="e" cm="1">
        <f t="array" ref="F25">SUMPRODUCT((#REF!="V5.2")*(LEFT(#REF!,6)='NCR 세부 수량 파악'!E25))</f>
        <v>#REF!</v>
      </c>
    </row>
    <row r="26" spans="2:6" ht="17.25" thickBot="1" x14ac:dyDescent="0.35">
      <c r="B26" s="49" t="s">
        <v>18</v>
      </c>
      <c r="C26" s="50"/>
      <c r="D26" s="50"/>
      <c r="E26" s="50"/>
      <c r="F26" s="30" t="e">
        <f>SUM(F5:F25)</f>
        <v>#REF!</v>
      </c>
    </row>
    <row r="27" spans="2:6" ht="17.25" thickBot="1" x14ac:dyDescent="0.35">
      <c r="B27" s="47" t="s">
        <v>44</v>
      </c>
      <c r="C27" s="48"/>
      <c r="D27" s="48"/>
      <c r="E27" s="48"/>
      <c r="F27" s="34" t="e">
        <f>SUM(F26:F26)</f>
        <v>#REF!</v>
      </c>
    </row>
  </sheetData>
  <mergeCells count="9">
    <mergeCell ref="B5:B12"/>
    <mergeCell ref="B27:E27"/>
    <mergeCell ref="B13:B25"/>
    <mergeCell ref="B26:E26"/>
    <mergeCell ref="B2:F2"/>
    <mergeCell ref="B3:B4"/>
    <mergeCell ref="C3:C4"/>
    <mergeCell ref="D3:D4"/>
    <mergeCell ref="E3:E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51B66-415C-42D7-8130-CA6B5EB0EFBC}">
  <sheetPr codeName="Sheet5"/>
  <dimension ref="B2:U11"/>
  <sheetViews>
    <sheetView zoomScale="80" zoomScaleNormal="80" workbookViewId="0">
      <pane ySplit="2" topLeftCell="A3" activePane="bottomLeft" state="frozen"/>
      <selection pane="bottomLeft" activeCell="K4" sqref="K4"/>
    </sheetView>
  </sheetViews>
  <sheetFormatPr defaultRowHeight="16.5" x14ac:dyDescent="0.3"/>
  <cols>
    <col min="2" max="2" width="9" style="2"/>
    <col min="3" max="3" width="15.625" style="2" customWidth="1"/>
    <col min="4" max="5" width="18.875" style="2" customWidth="1"/>
    <col min="6" max="7" width="17.875" style="2" customWidth="1"/>
    <col min="8" max="8" width="16" style="2" customWidth="1"/>
    <col min="9" max="9" width="11.625" style="3" customWidth="1"/>
    <col min="10" max="10" width="11.625" style="6" customWidth="1"/>
    <col min="11" max="11" width="11.625" style="3" customWidth="1"/>
    <col min="12" max="12" width="11.625" style="6" customWidth="1"/>
    <col min="13" max="14" width="11.625" style="2" customWidth="1"/>
    <col min="15" max="15" width="35.5" style="2" customWidth="1"/>
    <col min="16" max="16" width="13.25" style="2" customWidth="1"/>
    <col min="17" max="17" width="11.625" style="2" customWidth="1"/>
    <col min="18" max="20" width="11.625" style="1" customWidth="1"/>
    <col min="21" max="21" width="9" style="1"/>
  </cols>
  <sheetData>
    <row r="2" spans="2:17" ht="33" customHeight="1" x14ac:dyDescent="0.3">
      <c r="B2" s="4" t="s">
        <v>9</v>
      </c>
      <c r="C2" s="4" t="s">
        <v>0</v>
      </c>
      <c r="D2" s="4" t="s">
        <v>1</v>
      </c>
      <c r="E2" s="4" t="s">
        <v>12</v>
      </c>
      <c r="F2" s="4" t="s">
        <v>3</v>
      </c>
      <c r="G2" s="4" t="s">
        <v>11</v>
      </c>
      <c r="H2" s="4" t="s">
        <v>20</v>
      </c>
      <c r="I2" s="7" t="s">
        <v>4</v>
      </c>
      <c r="J2" s="5" t="s">
        <v>5</v>
      </c>
      <c r="K2" s="7" t="s">
        <v>2</v>
      </c>
      <c r="L2" s="5" t="s">
        <v>78</v>
      </c>
      <c r="M2" s="4" t="s">
        <v>8</v>
      </c>
      <c r="N2" s="4" t="s">
        <v>7</v>
      </c>
      <c r="O2" s="4" t="s">
        <v>6</v>
      </c>
      <c r="P2" s="4" t="s">
        <v>13</v>
      </c>
      <c r="Q2" s="4" t="s">
        <v>14</v>
      </c>
    </row>
    <row r="3" spans="2:17" x14ac:dyDescent="0.3">
      <c r="Q3" s="3"/>
    </row>
    <row r="4" spans="2:17" x14ac:dyDescent="0.3">
      <c r="Q4" s="3"/>
    </row>
    <row r="5" spans="2:17" x14ac:dyDescent="0.3">
      <c r="Q5" s="3"/>
    </row>
    <row r="7" spans="2:17" x14ac:dyDescent="0.3">
      <c r="Q7" s="3"/>
    </row>
    <row r="10" spans="2:17" x14ac:dyDescent="0.3">
      <c r="Q10" s="3"/>
    </row>
    <row r="11" spans="2:17" x14ac:dyDescent="0.3">
      <c r="Q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셀 입출고 확인</vt:lpstr>
      <vt:lpstr>NCR 세부 수량 파악</vt:lpstr>
      <vt:lpstr>프로젝트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박호언</dc:creator>
  <cp:lastModifiedBy>사용자</cp:lastModifiedBy>
  <dcterms:created xsi:type="dcterms:W3CDTF">2025-02-19T00:45:01Z</dcterms:created>
  <dcterms:modified xsi:type="dcterms:W3CDTF">2026-01-19T02:57:14Z</dcterms:modified>
</cp:coreProperties>
</file>