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F8326ED8-A318-4B66-9ADA-193C709B6B2D}" xr6:coauthVersionLast="47" xr6:coauthVersionMax="47" xr10:uidLastSave="{00000000-0000-0000-0000-000000000000}"/>
  <bookViews>
    <workbookView xWindow="-12420" yWindow="2610" windowWidth="24240" windowHeight="11460" xr2:uid="{B94CB888-66DB-45FA-8510-A42F0235C97A}"/>
  </bookViews>
  <sheets>
    <sheet name="셀 입출고 확인" sheetId="2" r:id="rId1"/>
    <sheet name="NCR 세부 수량 파악" sheetId="10" r:id="rId2"/>
    <sheet name="프로젝트" sheetId="7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10" l="1"/>
  <c r="G7" i="10" a="1"/>
  <c r="G7" i="10" s="1"/>
  <c r="S15" i="10"/>
  <c r="O15" i="10"/>
  <c r="AI8" i="10"/>
  <c r="AE15" i="10"/>
  <c r="AE8" i="10"/>
  <c r="W22" i="10"/>
  <c r="AI15" i="10"/>
  <c r="AE22" i="10"/>
  <c r="W8" i="10" l="1"/>
  <c r="S8" i="10"/>
  <c r="O8" i="10"/>
  <c r="W15" i="10" l="1"/>
  <c r="J24" i="10" l="1" a="1"/>
  <c r="J24" i="10" s="1"/>
  <c r="J25" i="10" a="1"/>
  <c r="J25" i="10" s="1"/>
  <c r="J23" i="10" a="1"/>
  <c r="J23" i="10" s="1"/>
  <c r="J22" i="10" a="1"/>
  <c r="J22" i="10" s="1"/>
  <c r="J21" i="10" a="1"/>
  <c r="J21" i="10" s="1"/>
  <c r="J20" i="10" a="1"/>
  <c r="J20" i="10" s="1"/>
  <c r="J19" i="10" a="1"/>
  <c r="J19" i="10" s="1"/>
  <c r="J18" i="10" a="1"/>
  <c r="J18" i="10" s="1"/>
  <c r="J17" i="10" a="1"/>
  <c r="J17" i="10" s="1"/>
  <c r="J16" i="10" a="1"/>
  <c r="J16" i="10" s="1"/>
  <c r="J15" i="10" a="1"/>
  <c r="J15" i="10" s="1"/>
  <c r="J14" i="10" a="1"/>
  <c r="J14" i="10" s="1"/>
  <c r="J13" i="10" a="1"/>
  <c r="J13" i="10" s="1"/>
  <c r="J10" i="10" a="1"/>
  <c r="J10" i="10" s="1"/>
  <c r="J12" i="10" a="1"/>
  <c r="J12" i="10" s="1"/>
  <c r="J11" i="10" a="1"/>
  <c r="J11" i="10" s="1"/>
  <c r="J9" i="10" a="1"/>
  <c r="J9" i="10" s="1"/>
  <c r="J8" i="10" a="1"/>
  <c r="J8" i="10" s="1"/>
  <c r="J7" i="10" a="1"/>
  <c r="J7" i="10" s="1"/>
  <c r="J5" i="10" a="1"/>
  <c r="J5" i="10" s="1"/>
  <c r="J6" i="10" a="1"/>
  <c r="J6" i="10" s="1"/>
  <c r="I6" i="10" a="1"/>
  <c r="I6" i="10" s="1"/>
  <c r="I5" i="10" a="1"/>
  <c r="I5" i="10" s="1"/>
  <c r="F6" i="10" a="1"/>
  <c r="F6" i="10" s="1"/>
  <c r="F5" i="10" a="1"/>
  <c r="F5" i="10" s="1"/>
  <c r="J26" i="10" l="1"/>
  <c r="K25" i="10" a="1"/>
  <c r="K25" i="10" s="1"/>
  <c r="I25" i="10" a="1"/>
  <c r="I25" i="10" s="1"/>
  <c r="H25" i="10" a="1"/>
  <c r="H25" i="10" s="1"/>
  <c r="G25" i="10" a="1"/>
  <c r="G25" i="10" s="1"/>
  <c r="F25" i="10" a="1"/>
  <c r="F25" i="10" s="1"/>
  <c r="K22" i="10" l="1" a="1"/>
  <c r="K22" i="10" s="1"/>
  <c r="I22" i="10" a="1"/>
  <c r="I22" i="10" s="1"/>
  <c r="H22" i="10" a="1"/>
  <c r="H22" i="10" s="1"/>
  <c r="G22" i="10" a="1"/>
  <c r="G22" i="10" s="1"/>
  <c r="F22" i="10" a="1"/>
  <c r="F22" i="10" s="1"/>
  <c r="K21" i="10" a="1"/>
  <c r="K21" i="10" s="1"/>
  <c r="I21" i="10" a="1"/>
  <c r="I21" i="10" s="1"/>
  <c r="H21" i="10" a="1"/>
  <c r="H21" i="10" s="1"/>
  <c r="G21" i="10" a="1"/>
  <c r="G21" i="10" s="1"/>
  <c r="F21" i="10" a="1"/>
  <c r="F21" i="10" s="1"/>
  <c r="K20" i="10" a="1"/>
  <c r="K20" i="10" s="1"/>
  <c r="I20" i="10" a="1"/>
  <c r="I20" i="10" s="1"/>
  <c r="H20" i="10" a="1"/>
  <c r="H20" i="10" s="1"/>
  <c r="G20" i="10" a="1"/>
  <c r="G20" i="10" s="1"/>
  <c r="F20" i="10" a="1"/>
  <c r="F20" i="10" s="1"/>
  <c r="K19" i="10" a="1"/>
  <c r="K19" i="10" s="1"/>
  <c r="I19" i="10" a="1"/>
  <c r="I19" i="10" s="1"/>
  <c r="H19" i="10" a="1"/>
  <c r="H19" i="10" s="1"/>
  <c r="G19" i="10" a="1"/>
  <c r="G19" i="10" s="1"/>
  <c r="F19" i="10" a="1"/>
  <c r="F19" i="10" s="1"/>
  <c r="K11" i="10" a="1"/>
  <c r="K11" i="10" s="1"/>
  <c r="I11" i="10" a="1"/>
  <c r="I11" i="10" s="1"/>
  <c r="H11" i="10" a="1"/>
  <c r="H11" i="10" s="1"/>
  <c r="G11" i="10" a="1"/>
  <c r="G11" i="10" s="1"/>
  <c r="F11" i="10" a="1"/>
  <c r="F11" i="10" s="1"/>
  <c r="K10" i="10" a="1"/>
  <c r="K10" i="10" s="1"/>
  <c r="I10" i="10" a="1"/>
  <c r="I10" i="10" s="1"/>
  <c r="H10" i="10" a="1"/>
  <c r="H10" i="10" s="1"/>
  <c r="G10" i="10" a="1"/>
  <c r="G10" i="10" s="1"/>
  <c r="F10" i="10" a="1"/>
  <c r="F10" i="10" s="1"/>
  <c r="K24" i="10" a="1"/>
  <c r="K24" i="10" s="1"/>
  <c r="I24" i="10" a="1"/>
  <c r="I24" i="10" s="1"/>
  <c r="H24" i="10" a="1"/>
  <c r="H24" i="10" s="1"/>
  <c r="G24" i="10" a="1"/>
  <c r="G24" i="10" s="1"/>
  <c r="F24" i="10" a="1"/>
  <c r="F24" i="10" s="1"/>
  <c r="K23" i="10" a="1"/>
  <c r="K23" i="10" s="1"/>
  <c r="I23" i="10" a="1"/>
  <c r="I23" i="10" s="1"/>
  <c r="H23" i="10" a="1"/>
  <c r="H23" i="10" s="1"/>
  <c r="G23" i="10" a="1"/>
  <c r="G23" i="10" s="1"/>
  <c r="F23" i="10" a="1"/>
  <c r="F23" i="10" s="1"/>
  <c r="K18" i="10" a="1"/>
  <c r="K18" i="10" s="1"/>
  <c r="I18" i="10" a="1"/>
  <c r="I18" i="10" s="1"/>
  <c r="H18" i="10" a="1"/>
  <c r="H18" i="10" s="1"/>
  <c r="G18" i="10" a="1"/>
  <c r="G18" i="10" s="1"/>
  <c r="F18" i="10" a="1"/>
  <c r="F18" i="10" s="1"/>
  <c r="K17" i="10" a="1"/>
  <c r="K17" i="10" s="1"/>
  <c r="I17" i="10" a="1"/>
  <c r="I17" i="10" s="1"/>
  <c r="H17" i="10" a="1"/>
  <c r="H17" i="10" s="1"/>
  <c r="G17" i="10" a="1"/>
  <c r="G17" i="10" s="1"/>
  <c r="F17" i="10" a="1"/>
  <c r="F17" i="10" s="1"/>
  <c r="K16" i="10" a="1"/>
  <c r="K16" i="10" s="1"/>
  <c r="I16" i="10" a="1"/>
  <c r="I16" i="10" s="1"/>
  <c r="H16" i="10" a="1"/>
  <c r="H16" i="10" s="1"/>
  <c r="G16" i="10" a="1"/>
  <c r="G16" i="10" s="1"/>
  <c r="F16" i="10" a="1"/>
  <c r="F16" i="10" s="1"/>
  <c r="K15" i="10" a="1"/>
  <c r="K15" i="10" s="1"/>
  <c r="I15" i="10" a="1"/>
  <c r="I15" i="10" s="1"/>
  <c r="H15" i="10" a="1"/>
  <c r="H15" i="10" s="1"/>
  <c r="G15" i="10" a="1"/>
  <c r="G15" i="10" s="1"/>
  <c r="F15" i="10" a="1"/>
  <c r="F15" i="10" s="1"/>
  <c r="K14" i="10" a="1"/>
  <c r="K14" i="10" s="1"/>
  <c r="I14" i="10" a="1"/>
  <c r="I14" i="10" s="1"/>
  <c r="H14" i="10" a="1"/>
  <c r="H14" i="10" s="1"/>
  <c r="G14" i="10" a="1"/>
  <c r="G14" i="10" s="1"/>
  <c r="F14" i="10" a="1"/>
  <c r="F14" i="10" s="1"/>
  <c r="K13" i="10" a="1"/>
  <c r="K13" i="10" s="1"/>
  <c r="I13" i="10" a="1"/>
  <c r="I13" i="10" s="1"/>
  <c r="H13" i="10" a="1"/>
  <c r="H13" i="10" s="1"/>
  <c r="G13" i="10" a="1"/>
  <c r="G13" i="10" s="1"/>
  <c r="F13" i="10" a="1"/>
  <c r="F13" i="10" s="1"/>
  <c r="K12" i="10" a="1"/>
  <c r="K12" i="10" s="1"/>
  <c r="I12" i="10" a="1"/>
  <c r="I12" i="10" s="1"/>
  <c r="H12" i="10" a="1"/>
  <c r="H12" i="10" s="1"/>
  <c r="G12" i="10" a="1"/>
  <c r="G12" i="10" s="1"/>
  <c r="F12" i="10" a="1"/>
  <c r="F12" i="10" s="1"/>
  <c r="K9" i="10" a="1"/>
  <c r="K9" i="10" s="1"/>
  <c r="I9" i="10" a="1"/>
  <c r="I9" i="10" s="1"/>
  <c r="H9" i="10" a="1"/>
  <c r="H9" i="10" s="1"/>
  <c r="G9" i="10" a="1"/>
  <c r="G9" i="10" s="1"/>
  <c r="F9" i="10" a="1"/>
  <c r="F9" i="10" s="1"/>
  <c r="K8" i="10" a="1"/>
  <c r="K8" i="10" s="1"/>
  <c r="I8" i="10" a="1"/>
  <c r="I8" i="10" s="1"/>
  <c r="H8" i="10" a="1"/>
  <c r="H8" i="10" s="1"/>
  <c r="G8" i="10" a="1"/>
  <c r="G8" i="10" s="1"/>
  <c r="F8" i="10" a="1"/>
  <c r="F8" i="10" s="1"/>
  <c r="K7" i="10" a="1"/>
  <c r="K7" i="10" s="1"/>
  <c r="I7" i="10" a="1"/>
  <c r="I7" i="10" s="1"/>
  <c r="H7" i="10" a="1"/>
  <c r="H7" i="10" s="1"/>
  <c r="F7" i="10" a="1"/>
  <c r="F7" i="10" s="1"/>
  <c r="K6" i="10" a="1"/>
  <c r="K6" i="10" s="1"/>
  <c r="H6" i="10" a="1"/>
  <c r="H6" i="10" s="1"/>
  <c r="G6" i="10" a="1"/>
  <c r="G6" i="10" s="1"/>
  <c r="K5" i="10" a="1"/>
  <c r="K5" i="10" s="1"/>
  <c r="H5" i="10" a="1"/>
  <c r="H5" i="10" s="1"/>
  <c r="G5" i="10" a="1"/>
  <c r="G5" i="10" s="1"/>
  <c r="K26" i="10" l="1"/>
  <c r="I26" i="10"/>
  <c r="G26" i="10"/>
  <c r="F26" i="10"/>
  <c r="H26" i="10"/>
  <c r="F27" i="10" l="1"/>
  <c r="G7" i="2" l="1"/>
  <c r="G6" i="2"/>
  <c r="G5" i="2"/>
  <c r="G8" i="2" l="1"/>
  <c r="F7" i="2"/>
  <c r="F6" i="2"/>
  <c r="F5" i="2"/>
  <c r="F8" i="2" l="1"/>
  <c r="E7" i="2" l="1"/>
  <c r="E5" i="2"/>
  <c r="E6" i="2"/>
  <c r="D5" i="2" l="1"/>
  <c r="D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<sst xmlns="http://schemas.openxmlformats.org/spreadsheetml/2006/main" count="256" uniqueCount="118">
  <si>
    <t>Lot No.</t>
    <phoneticPr fontId="1" type="noConversion"/>
  </si>
  <si>
    <t>프로젝트명</t>
    <phoneticPr fontId="1" type="noConversion"/>
  </si>
  <si>
    <t>출고 일자</t>
    <phoneticPr fontId="1" type="noConversion"/>
  </si>
  <si>
    <t>모델</t>
    <phoneticPr fontId="1" type="noConversion"/>
  </si>
  <si>
    <t>보관 일자</t>
    <phoneticPr fontId="1" type="noConversion"/>
  </si>
  <si>
    <t>보관 위치</t>
    <phoneticPr fontId="1" type="noConversion"/>
  </si>
  <si>
    <t>상세</t>
    <phoneticPr fontId="1" type="noConversion"/>
  </si>
  <si>
    <t>인수자</t>
    <phoneticPr fontId="1" type="noConversion"/>
  </si>
  <si>
    <t>인계자</t>
    <phoneticPr fontId="1" type="noConversion"/>
  </si>
  <si>
    <t>No.</t>
    <phoneticPr fontId="1" type="noConversion"/>
  </si>
  <si>
    <t>Project Name</t>
    <phoneticPr fontId="1" type="noConversion"/>
  </si>
  <si>
    <t>등급</t>
    <phoneticPr fontId="1" type="noConversion"/>
  </si>
  <si>
    <t>UFC</t>
    <phoneticPr fontId="1" type="noConversion"/>
  </si>
  <si>
    <t>Navitas</t>
    <phoneticPr fontId="1" type="noConversion"/>
  </si>
  <si>
    <t>Project No.</t>
    <phoneticPr fontId="1" type="noConversion"/>
  </si>
  <si>
    <t>상태</t>
    <phoneticPr fontId="1" type="noConversion"/>
  </si>
  <si>
    <t>재입고</t>
    <phoneticPr fontId="1" type="noConversion"/>
  </si>
  <si>
    <t>보유 수량</t>
    <phoneticPr fontId="1" type="noConversion"/>
  </si>
  <si>
    <t>총 입고량</t>
    <phoneticPr fontId="1" type="noConversion"/>
  </si>
  <si>
    <t>총 출고량</t>
    <phoneticPr fontId="1" type="noConversion"/>
  </si>
  <si>
    <t>총 합</t>
    <phoneticPr fontId="1" type="noConversion"/>
  </si>
  <si>
    <t>수량</t>
    <phoneticPr fontId="1" type="noConversion"/>
  </si>
  <si>
    <t>프로젝트 별 Cell 입/출고 현황</t>
    <phoneticPr fontId="1" type="noConversion"/>
  </si>
  <si>
    <t>NCR 등급</t>
    <phoneticPr fontId="1" type="noConversion"/>
  </si>
  <si>
    <t>NCR 종류</t>
    <phoneticPr fontId="1" type="noConversion"/>
  </si>
  <si>
    <t>분류</t>
    <phoneticPr fontId="1" type="noConversion"/>
  </si>
  <si>
    <t>NCR1</t>
    <phoneticPr fontId="1" type="noConversion"/>
  </si>
  <si>
    <t>NCR2</t>
  </si>
  <si>
    <t>NCR3</t>
  </si>
  <si>
    <t>NCR4</t>
  </si>
  <si>
    <t>NCR5</t>
  </si>
  <si>
    <t>NCR6</t>
  </si>
  <si>
    <t>Formation</t>
    <phoneticPr fontId="1" type="noConversion"/>
  </si>
  <si>
    <t>NCR7</t>
  </si>
  <si>
    <t>Inspection</t>
    <phoneticPr fontId="1" type="noConversion"/>
  </si>
  <si>
    <t>F-NCR1</t>
    <phoneticPr fontId="1" type="noConversion"/>
  </si>
  <si>
    <t>F-NCR2</t>
  </si>
  <si>
    <t>F-NCR4</t>
  </si>
  <si>
    <t>F-NCR5</t>
  </si>
  <si>
    <t>F-NCR6</t>
  </si>
  <si>
    <t>표기</t>
    <phoneticPr fontId="1" type="noConversion"/>
  </si>
  <si>
    <t>NCR 세부 구분 현황 표</t>
    <phoneticPr fontId="1" type="noConversion"/>
  </si>
  <si>
    <t>세부사항</t>
    <phoneticPr fontId="1" type="noConversion"/>
  </si>
  <si>
    <t>NCR</t>
    <phoneticPr fontId="1" type="noConversion"/>
  </si>
  <si>
    <t>V5.2</t>
    <phoneticPr fontId="1" type="noConversion"/>
  </si>
  <si>
    <t>창고 내 총 셀 수량</t>
    <phoneticPr fontId="1" type="noConversion"/>
  </si>
  <si>
    <t>기타</t>
    <phoneticPr fontId="1" type="noConversion"/>
  </si>
  <si>
    <t>V5.6</t>
    <phoneticPr fontId="1" type="noConversion"/>
  </si>
  <si>
    <t>V5.5</t>
    <phoneticPr fontId="1" type="noConversion"/>
  </si>
  <si>
    <t>UFC(V5.2)</t>
    <phoneticPr fontId="1" type="noConversion"/>
  </si>
  <si>
    <t>6T</t>
    <phoneticPr fontId="1" type="noConversion"/>
  </si>
  <si>
    <t>NCR 총 합</t>
    <phoneticPr fontId="1" type="noConversion"/>
  </si>
  <si>
    <t>양품</t>
    <phoneticPr fontId="1" type="noConversion"/>
  </si>
  <si>
    <t>NG</t>
    <phoneticPr fontId="1" type="noConversion"/>
  </si>
  <si>
    <t>3.0~3.9</t>
    <phoneticPr fontId="1" type="noConversion"/>
  </si>
  <si>
    <t>4.0-4.9</t>
    <phoneticPr fontId="1" type="noConversion"/>
  </si>
  <si>
    <t>2.0~2.9</t>
    <phoneticPr fontId="1" type="noConversion"/>
  </si>
  <si>
    <t>구분</t>
    <phoneticPr fontId="1" type="noConversion"/>
  </si>
  <si>
    <t>Cutting</t>
    <phoneticPr fontId="1" type="noConversion"/>
  </si>
  <si>
    <t>합계</t>
    <phoneticPr fontId="1" type="noConversion"/>
  </si>
  <si>
    <t>2. 외관 찍힘</t>
    <phoneticPr fontId="1" type="noConversion"/>
  </si>
  <si>
    <t>1/4 지점 흔들림</t>
    <phoneticPr fontId="1" type="noConversion"/>
  </si>
  <si>
    <t>파우치 들뜸</t>
    <phoneticPr fontId="1" type="noConversion"/>
  </si>
  <si>
    <t>Navitas_6T</t>
    <phoneticPr fontId="1" type="noConversion"/>
  </si>
  <si>
    <t>찍힘 크기, 수량</t>
    <phoneticPr fontId="1" type="noConversion"/>
  </si>
  <si>
    <t>외관</t>
    <phoneticPr fontId="1" type="noConversion"/>
  </si>
  <si>
    <t>V5.8</t>
    <phoneticPr fontId="1" type="noConversion"/>
  </si>
  <si>
    <t>파우치 크랙</t>
    <phoneticPr fontId="1" type="noConversion"/>
  </si>
  <si>
    <t>V5.7</t>
    <phoneticPr fontId="1" type="noConversion"/>
  </si>
  <si>
    <t>F-NCR7</t>
  </si>
  <si>
    <t>F-NCR8</t>
  </si>
  <si>
    <t>NCR8</t>
  </si>
  <si>
    <t>NCR9</t>
  </si>
  <si>
    <t>NCR10</t>
  </si>
  <si>
    <t>NCR11</t>
  </si>
  <si>
    <t>PF 방전용량(Ah)</t>
  </si>
  <si>
    <t>Final 실링 두께(㎛)</t>
  </si>
  <si>
    <t>MF 충전용량(Ah)</t>
  </si>
  <si>
    <t>MF OCV1(aging 전, V)</t>
  </si>
  <si>
    <t>MF OCV2(aging 후, V)</t>
  </si>
  <si>
    <t>MF OCV2 △V(OCV2-OCV1, V)</t>
  </si>
  <si>
    <t>MF 방전용량(Ah)</t>
  </si>
  <si>
    <t>기준용량(Ah)</t>
  </si>
  <si>
    <t>출하충전 OCV3(V)</t>
  </si>
  <si>
    <t>보관 후 출하 OCV4 △V ratio(mV/month)</t>
  </si>
  <si>
    <t>가스 발생 육안검사(여/부, 흔들림 지점)</t>
  </si>
  <si>
    <t>파우치 표면 돌출(직경≤2mm) 수량(개)</t>
  </si>
  <si>
    <t>파우치 표면 긁힘(폭≤0.5mm, 길이＞1mm) 수량(개)</t>
  </si>
  <si>
    <t>파우치 표면 찍힘(직경≤1mm) 수량(개)</t>
  </si>
  <si>
    <t>누액 및 부식(여/부)</t>
  </si>
  <si>
    <t>전지 size(폭, ㎜)</t>
  </si>
  <si>
    <t>전지 두께(mm)</t>
  </si>
  <si>
    <t>전지 무게(g)</t>
  </si>
  <si>
    <t>NCR1</t>
  </si>
  <si>
    <t>기타-1</t>
    <phoneticPr fontId="1" type="noConversion"/>
  </si>
  <si>
    <t>기타-2</t>
    <phoneticPr fontId="1" type="noConversion"/>
  </si>
  <si>
    <t>실란트 돌출 후 화성 진행 셀</t>
    <phoneticPr fontId="1" type="noConversion"/>
  </si>
  <si>
    <t>BA</t>
    <phoneticPr fontId="1" type="noConversion"/>
  </si>
  <si>
    <t>BB</t>
    <phoneticPr fontId="1" type="noConversion"/>
  </si>
  <si>
    <t>BC</t>
    <phoneticPr fontId="1" type="noConversion"/>
  </si>
  <si>
    <t>≥2mm or 2개 이상</t>
    <phoneticPr fontId="1" type="noConversion"/>
  </si>
  <si>
    <t>＜2mm</t>
    <phoneticPr fontId="1" type="noConversion"/>
  </si>
  <si>
    <t>3. 파우치 크랙(NCR_기타-1)</t>
    <phoneticPr fontId="1" type="noConversion"/>
  </si>
  <si>
    <t>2. 파우치 크랙(NCR_기타-1)</t>
    <phoneticPr fontId="1" type="noConversion"/>
  </si>
  <si>
    <t>2. 외관 : 가스</t>
    <phoneticPr fontId="1" type="noConversion"/>
  </si>
  <si>
    <t>3. 외관 : 찍힘</t>
    <phoneticPr fontId="1" type="noConversion"/>
  </si>
  <si>
    <t>10＜수량≤20</t>
  </si>
  <si>
    <t>20＜수량≤30</t>
  </si>
  <si>
    <t>30＜수량≤40</t>
  </si>
  <si>
    <t>Final 실링 Cutting 폭(mm)</t>
    <phoneticPr fontId="1" type="noConversion"/>
  </si>
  <si>
    <t>1. Final 실링 Cutting 폭(7±0.5mm)</t>
  </si>
  <si>
    <t>2. 외관 : 돌출</t>
    <phoneticPr fontId="1" type="noConversion"/>
  </si>
  <si>
    <t>4＜수량≤6</t>
  </si>
  <si>
    <t>6＜수량≤8</t>
  </si>
  <si>
    <t>8＜수량≤10</t>
  </si>
  <si>
    <t>F-NCR3</t>
    <phoneticPr fontId="1" type="noConversion"/>
  </si>
  <si>
    <t>1. 외관 찍힘</t>
    <phoneticPr fontId="1" type="noConversion"/>
  </si>
  <si>
    <t>출고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</si>
</sst>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7" fillId="3" borderId="12" xfId="1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1" fontId="7" fillId="3" borderId="13" xfId="1" applyFont="1" applyFill="1" applyBorder="1" applyAlignment="1">
      <alignment horizontal="center" vertical="center"/>
    </xf>
    <xf numFmtId="41" fontId="7" fillId="3" borderId="18" xfId="1" applyFont="1" applyFill="1" applyBorder="1" applyAlignment="1">
      <alignment horizontal="center" vertical="center"/>
    </xf>
    <xf numFmtId="41" fontId="7" fillId="3" borderId="20" xfId="1" applyFont="1" applyFill="1" applyBorder="1" applyAlignment="1">
      <alignment vertical="center"/>
    </xf>
    <xf numFmtId="41" fontId="7" fillId="3" borderId="18" xfId="1" applyFont="1" applyFill="1" applyBorder="1" applyAlignment="1">
      <alignment vertical="center"/>
    </xf>
    <xf numFmtId="41" fontId="4" fillId="3" borderId="1" xfId="1" applyFont="1" applyFill="1" applyBorder="1" applyAlignment="1">
      <alignment horizontal="center" vertical="center"/>
    </xf>
    <xf numFmtId="41" fontId="3" fillId="0" borderId="5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176" fontId="9" fillId="3" borderId="22" xfId="1" applyNumberFormat="1" applyFont="1" applyFill="1" applyBorder="1" applyAlignment="1">
      <alignment horizontal="center" vertical="center"/>
    </xf>
    <xf numFmtId="176" fontId="9" fillId="3" borderId="31" xfId="1" applyNumberFormat="1" applyFont="1" applyFill="1" applyBorder="1" applyAlignment="1">
      <alignment horizontal="center" vertical="center"/>
    </xf>
    <xf numFmtId="176" fontId="9" fillId="3" borderId="23" xfId="1" applyNumberFormat="1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D8F0-FAE8-4A31-B15E-887AF3A466A0}">
  <sheetPr codeName="Sheet2"/>
  <dimension ref="A1:H8"/>
  <sheetViews>
    <sheetView showGridLines="0" tabSelected="1" zoomScale="70" zoomScaleNormal="70" workbookViewId="0">
      <selection activeCell="C20" sqref="C20"/>
    </sheetView>
  </sheetViews>
  <sheetFormatPr defaultRowHeight="16.5" x14ac:dyDescent="0.3"/>
  <cols>
    <col min="1" max="1" width="8.375" customWidth="1"/>
    <col min="2" max="8" width="14.625" style="1" customWidth="1"/>
  </cols>
  <sheetData>
    <row r="1" spans="1:8" ht="17.25" x14ac:dyDescent="0.3">
      <c r="A1" s="8"/>
      <c r="B1" s="11"/>
      <c r="C1" s="11"/>
      <c r="D1" s="11"/>
      <c r="E1" s="11"/>
      <c r="F1" s="12"/>
      <c r="G1" s="11"/>
      <c r="H1" s="11"/>
    </row>
    <row r="2" spans="1:8" ht="18" thickBot="1" x14ac:dyDescent="0.35">
      <c r="A2" s="8"/>
      <c r="B2" s="11"/>
      <c r="C2" s="11"/>
      <c r="D2" s="11"/>
      <c r="E2" s="11"/>
      <c r="F2" s="12"/>
      <c r="G2" s="11"/>
      <c r="H2" s="11"/>
    </row>
    <row r="3" spans="1:8" ht="18" thickBot="1" x14ac:dyDescent="0.35">
      <c r="A3" s="8"/>
      <c r="B3" s="47" t="s">
        <v>22</v>
      </c>
      <c r="C3" s="48"/>
      <c r="D3" s="48"/>
      <c r="E3" s="48"/>
      <c r="F3" s="48"/>
      <c r="G3" s="48"/>
      <c r="H3" s="49"/>
    </row>
    <row r="4" spans="1:8" ht="17.25" x14ac:dyDescent="0.3">
      <c r="A4" s="8"/>
      <c r="B4" s="9" t="s">
        <v>10</v>
      </c>
      <c r="C4" s="10" t="s">
        <v>11</v>
      </c>
      <c r="D4" s="10" t="s">
        <v>20</v>
      </c>
      <c r="E4" s="13" t="s">
        <v>17</v>
      </c>
      <c r="F4" s="10" t="s">
        <v>18</v>
      </c>
      <c r="G4" s="10" t="s">
        <v>19</v>
      </c>
      <c r="H4" s="15" t="s">
        <v>46</v>
      </c>
    </row>
    <row r="5" spans="1:8" ht="17.25" x14ac:dyDescent="0.3">
      <c r="A5" s="8"/>
      <c r="B5" s="55" t="s">
        <v>49</v>
      </c>
      <c r="C5" s="16" t="s">
        <v>52</v>
      </c>
      <c r="D5" s="54" t="e">
        <f>E5+E6+E7</f>
        <v>#REF!</v>
      </c>
      <c r="E5" s="17" t="e">
        <f>F5-G5</f>
        <v>#REF!</v>
      </c>
      <c r="F5" s="18" t="e">
        <f>COUNTIFS(#REF!,"양품",#REF!,"V5.2")</f>
        <v>#REF!</v>
      </c>
      <c r="G5" s="19" t="e">
        <f>COUNTIFS(#REF!,"양품",#REF!,"&lt;&gt;",#REF!,"V5.2")</f>
        <v>#REF!</v>
      </c>
      <c r="H5" s="20"/>
    </row>
    <row r="6" spans="1:8" ht="17.25" x14ac:dyDescent="0.3">
      <c r="A6" s="8"/>
      <c r="B6" s="55"/>
      <c r="C6" s="16" t="s">
        <v>43</v>
      </c>
      <c r="D6" s="54"/>
      <c r="E6" s="17" t="e">
        <f t="shared" ref="E6:E7" si="0">F6-G6</f>
        <v>#REF!</v>
      </c>
      <c r="F6" s="18" t="e">
        <f>COUNTIFS(#REF!,"NCR",#REF!,"V5.2")</f>
        <v>#REF!</v>
      </c>
      <c r="G6" s="19" t="e">
        <f>COUNTIFS(#REF!,"NCR",#REF!,"&lt;&gt;",#REF!,"V5.2")</f>
        <v>#REF!</v>
      </c>
      <c r="H6" s="20"/>
    </row>
    <row r="7" spans="1:8" ht="17.25" x14ac:dyDescent="0.3">
      <c r="A7" s="8"/>
      <c r="B7" s="55"/>
      <c r="C7" s="16" t="s">
        <v>53</v>
      </c>
      <c r="D7" s="54"/>
      <c r="E7" s="17" t="e">
        <f t="shared" si="0"/>
        <v>#REF!</v>
      </c>
      <c r="F7" s="18" t="e">
        <f>COUNTIFS(#REF!,"NG",#REF!,"V5.2")</f>
        <v>#REF!</v>
      </c>
      <c r="G7" s="19" t="e">
        <f>COUNTIFS(#REF!,"NG",#REF!,"&lt;&gt;",#REF!,"V5.2")</f>
        <v>#REF!</v>
      </c>
      <c r="H7" s="20"/>
    </row>
    <row r="8" spans="1:8" ht="18" thickBot="1" x14ac:dyDescent="0.35">
      <c r="B8" s="50" t="s">
        <v>45</v>
      </c>
      <c r="C8" s="51"/>
      <c r="D8" s="52" t="e">
        <f>SUM(D5:D7)</f>
        <v>#REF!</v>
      </c>
      <c r="E8" s="53"/>
      <c r="F8" s="21" t="e">
        <f>SUM(F5:F7)</f>
        <v>#REF!</v>
      </c>
      <c r="G8" s="21" t="e">
        <f>SUM(G5:G7)</f>
        <v>#REF!</v>
      </c>
      <c r="H8" s="22"/>
    </row>
  </sheetData>
  <mergeCells count="5">
    <mergeCell ref="B3:H3"/>
    <mergeCell ref="B8:C8"/>
    <mergeCell ref="D8:E8"/>
    <mergeCell ref="D5:D7"/>
    <mergeCell ref="B5:B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B4AC-D346-47DB-A7F7-111853194625}">
  <sheetPr codeName="Sheet7"/>
  <dimension ref="B1:AI27"/>
  <sheetViews>
    <sheetView zoomScale="80" zoomScaleNormal="80" workbookViewId="0">
      <selection activeCell="D42" sqref="D41:D42"/>
    </sheetView>
  </sheetViews>
  <sheetFormatPr defaultRowHeight="16.5" x14ac:dyDescent="0.3"/>
  <cols>
    <col min="2" max="2" width="17.25" style="1" customWidth="1"/>
    <col min="3" max="3" width="15.5" style="1" customWidth="1"/>
    <col min="4" max="4" width="41.25" style="1" bestFit="1" customWidth="1"/>
    <col min="5" max="5" width="10.625" style="1" customWidth="1"/>
    <col min="6" max="11" width="15.625" style="1" customWidth="1"/>
    <col min="12" max="12" width="2" style="1" customWidth="1"/>
    <col min="13" max="13" width="9" style="1"/>
    <col min="14" max="14" width="16" style="1" customWidth="1"/>
    <col min="15" max="15" width="9" style="1"/>
    <col min="16" max="16" width="2" style="1" customWidth="1"/>
    <col min="17" max="17" width="9" style="1"/>
    <col min="18" max="18" width="16" style="1" customWidth="1"/>
    <col min="19" max="19" width="9" style="1"/>
    <col min="20" max="20" width="2" style="1" customWidth="1"/>
    <col min="21" max="21" width="9" style="1"/>
    <col min="22" max="22" width="16" style="1" customWidth="1"/>
    <col min="23" max="23" width="9" style="1"/>
    <col min="24" max="24" width="2" style="1" customWidth="1"/>
    <col min="25" max="25" width="9" style="1"/>
    <col min="26" max="26" width="16" style="1" customWidth="1"/>
    <col min="27" max="27" width="9" style="1"/>
    <col min="28" max="28" width="2" customWidth="1"/>
    <col min="30" max="30" width="16.375" bestFit="1" customWidth="1"/>
    <col min="32" max="32" width="2" customWidth="1"/>
    <col min="34" max="34" width="16.375" bestFit="1" customWidth="1"/>
  </cols>
  <sheetData>
    <row r="1" spans="2:35" ht="17.25" thickBot="1" x14ac:dyDescent="0.35">
      <c r="M1" s="40"/>
    </row>
    <row r="2" spans="2:35" ht="18" thickBot="1" x14ac:dyDescent="0.35">
      <c r="B2" s="69" t="s">
        <v>41</v>
      </c>
      <c r="C2" s="70"/>
      <c r="D2" s="70"/>
      <c r="E2" s="70"/>
      <c r="F2" s="70"/>
      <c r="G2" s="70"/>
      <c r="H2" s="70"/>
      <c r="I2" s="71"/>
      <c r="J2" s="71"/>
      <c r="K2" s="72"/>
      <c r="M2" s="40" t="s">
        <v>44</v>
      </c>
      <c r="N2" s="38"/>
      <c r="O2" s="38"/>
      <c r="P2" s="38"/>
      <c r="Q2" s="40" t="s">
        <v>48</v>
      </c>
      <c r="R2" s="38"/>
      <c r="S2" s="38"/>
      <c r="T2" s="38"/>
      <c r="U2" s="40" t="s">
        <v>47</v>
      </c>
      <c r="V2" s="38"/>
      <c r="W2" s="38"/>
      <c r="X2" s="38"/>
      <c r="Y2" s="40" t="s">
        <v>63</v>
      </c>
      <c r="Z2" s="38"/>
      <c r="AC2" s="40" t="s">
        <v>68</v>
      </c>
      <c r="AD2" s="1"/>
      <c r="AE2" s="1"/>
      <c r="AF2" s="1"/>
      <c r="AG2" s="40" t="s">
        <v>66</v>
      </c>
      <c r="AH2" s="1"/>
      <c r="AI2" s="1"/>
    </row>
    <row r="3" spans="2:35" x14ac:dyDescent="0.3">
      <c r="B3" s="73" t="s">
        <v>25</v>
      </c>
      <c r="C3" s="75" t="s">
        <v>24</v>
      </c>
      <c r="D3" s="75" t="s">
        <v>42</v>
      </c>
      <c r="E3" s="77" t="s">
        <v>40</v>
      </c>
      <c r="F3" s="79" t="s">
        <v>12</v>
      </c>
      <c r="G3" s="80"/>
      <c r="H3" s="81"/>
      <c r="I3" s="43"/>
      <c r="J3" s="43"/>
      <c r="K3" s="35" t="s">
        <v>13</v>
      </c>
      <c r="M3" s="38" t="s">
        <v>110</v>
      </c>
      <c r="N3" s="45"/>
      <c r="Q3" s="38" t="s">
        <v>110</v>
      </c>
      <c r="U3" s="38" t="s">
        <v>110</v>
      </c>
      <c r="Y3" s="38" t="s">
        <v>116</v>
      </c>
      <c r="AC3" s="38" t="s">
        <v>110</v>
      </c>
      <c r="AD3" s="1"/>
      <c r="AE3" s="1"/>
      <c r="AG3" s="38" t="s">
        <v>110</v>
      </c>
      <c r="AH3" s="1"/>
      <c r="AI3" s="1"/>
    </row>
    <row r="4" spans="2:35" ht="17.25" thickBot="1" x14ac:dyDescent="0.35">
      <c r="B4" s="74"/>
      <c r="C4" s="76"/>
      <c r="D4" s="76"/>
      <c r="E4" s="78"/>
      <c r="F4" s="36" t="s">
        <v>44</v>
      </c>
      <c r="G4" s="36" t="s">
        <v>48</v>
      </c>
      <c r="H4" s="36" t="s">
        <v>47</v>
      </c>
      <c r="I4" s="36" t="s">
        <v>68</v>
      </c>
      <c r="J4" s="36" t="s">
        <v>66</v>
      </c>
      <c r="K4" s="37" t="s">
        <v>50</v>
      </c>
      <c r="M4" s="41" t="s">
        <v>57</v>
      </c>
      <c r="N4" s="41" t="s">
        <v>58</v>
      </c>
      <c r="O4" s="41" t="s">
        <v>21</v>
      </c>
      <c r="Q4" s="41" t="s">
        <v>57</v>
      </c>
      <c r="R4" s="41" t="s">
        <v>58</v>
      </c>
      <c r="S4" s="41" t="s">
        <v>21</v>
      </c>
      <c r="U4" s="41" t="s">
        <v>57</v>
      </c>
      <c r="V4" s="41" t="s">
        <v>58</v>
      </c>
      <c r="W4" s="41" t="s">
        <v>21</v>
      </c>
      <c r="Y4" s="41" t="s">
        <v>57</v>
      </c>
      <c r="Z4" s="41" t="s">
        <v>64</v>
      </c>
      <c r="AA4" s="41" t="s">
        <v>21</v>
      </c>
      <c r="AC4" s="41" t="s">
        <v>57</v>
      </c>
      <c r="AD4" s="41" t="s">
        <v>58</v>
      </c>
      <c r="AE4" s="41" t="s">
        <v>21</v>
      </c>
      <c r="AG4" s="41" t="s">
        <v>57</v>
      </c>
      <c r="AH4" s="41" t="s">
        <v>58</v>
      </c>
      <c r="AI4" s="41" t="s">
        <v>21</v>
      </c>
    </row>
    <row r="5" spans="2:35" x14ac:dyDescent="0.3">
      <c r="B5" s="59" t="s">
        <v>32</v>
      </c>
      <c r="C5" s="26" t="s">
        <v>26</v>
      </c>
      <c r="D5" s="26" t="s">
        <v>75</v>
      </c>
      <c r="E5" s="27" t="s">
        <v>35</v>
      </c>
      <c r="F5" s="28" t="e" cm="1">
        <f t="array" ref="F5">SUMPRODUCT((#REF!="V5.2")*(LEFT(#REF!,6)='NCR 세부 수량 파악'!E5))</f>
        <v>#REF!</v>
      </c>
      <c r="G5" s="28" t="e" cm="1">
        <f t="array" ref="G5">SUMPRODUCT((#REF!="V5.5")*(LEFT(#REF!,6)='NCR 세부 수량 파악'!E5))</f>
        <v>#REF!</v>
      </c>
      <c r="H5" s="28" t="e" cm="1">
        <f t="array" ref="H5">SUMPRODUCT((#REF!="V5.6")*(LEFT(#REF!,6)='NCR 세부 수량 파악'!E5))</f>
        <v>#REF!</v>
      </c>
      <c r="I5" s="28" t="e" cm="1">
        <f t="array" ref="I5">SUMPRODUCT((#REF!="V5.7")*(LEFT(#REF!,6)='NCR 세부 수량 파악'!E5))</f>
        <v>#REF!</v>
      </c>
      <c r="J5" s="28" t="e" cm="1">
        <f t="array" ref="J5">SUMPRODUCT((#REF!="V5.8")*(LEFT(#REF!,6)='NCR 세부 수량 파악'!E5))</f>
        <v>#REF!</v>
      </c>
      <c r="K5" s="29" t="e" cm="1">
        <f t="array" ref="K5">SUMPRODUCT((#REF!="6T")*(LEFT(#REF!,6)='NCR 세부 수량 파악'!E5))</f>
        <v>#REF!</v>
      </c>
      <c r="M5" s="2" t="s">
        <v>97</v>
      </c>
      <c r="N5" s="2" t="s">
        <v>55</v>
      </c>
      <c r="O5" s="2">
        <v>12</v>
      </c>
      <c r="Q5" s="2" t="s">
        <v>97</v>
      </c>
      <c r="R5" s="2" t="s">
        <v>55</v>
      </c>
      <c r="S5" s="2">
        <v>24</v>
      </c>
      <c r="U5" s="2" t="s">
        <v>97</v>
      </c>
      <c r="V5" s="2" t="s">
        <v>55</v>
      </c>
      <c r="W5" s="2">
        <v>17</v>
      </c>
      <c r="Y5" s="2" t="s">
        <v>97</v>
      </c>
      <c r="Z5" s="2" t="s">
        <v>106</v>
      </c>
      <c r="AA5" s="2">
        <v>11</v>
      </c>
      <c r="AC5" s="2" t="s">
        <v>97</v>
      </c>
      <c r="AD5" s="2" t="s">
        <v>55</v>
      </c>
      <c r="AE5" s="2">
        <v>6</v>
      </c>
      <c r="AG5" s="2" t="s">
        <v>97</v>
      </c>
      <c r="AH5" s="2" t="s">
        <v>55</v>
      </c>
      <c r="AI5" s="2">
        <v>12</v>
      </c>
    </row>
    <row r="6" spans="2:35" x14ac:dyDescent="0.3">
      <c r="B6" s="60"/>
      <c r="C6" s="2" t="s">
        <v>27</v>
      </c>
      <c r="D6" s="2" t="s">
        <v>76</v>
      </c>
      <c r="E6" s="14" t="s">
        <v>36</v>
      </c>
      <c r="F6" s="23" t="e" cm="1">
        <f t="array" ref="F6">SUMPRODUCT((#REF!="V5.2")*(LEFT(#REF!,6)='NCR 세부 수량 파악'!E6))</f>
        <v>#REF!</v>
      </c>
      <c r="G6" s="23" t="e" cm="1">
        <f t="array" ref="G6">SUMPRODUCT((#REF!="V5.5")*(LEFT(#REF!,6)='NCR 세부 수량 파악'!E6))</f>
        <v>#REF!</v>
      </c>
      <c r="H6" s="23" t="e" cm="1">
        <f t="array" ref="H6">SUMPRODUCT((#REF!="V5.6")*(LEFT(#REF!,6)='NCR 세부 수량 파악'!E6))</f>
        <v>#REF!</v>
      </c>
      <c r="I6" s="23" t="e" cm="1">
        <f t="array" ref="I6">SUMPRODUCT((#REF!="V5.7")*(LEFT(#REF!,6)='NCR 세부 수량 파악'!E6))</f>
        <v>#REF!</v>
      </c>
      <c r="J6" s="23" t="e" cm="1">
        <f t="array" ref="J6">SUMPRODUCT((#REF!="V5.8")*(LEFT(#REF!,6)='NCR 세부 수량 파악'!E6))</f>
        <v>#REF!</v>
      </c>
      <c r="K6" s="24" t="e" cm="1">
        <f t="array" ref="K6">SUMPRODUCT((#REF!="6T")*(LEFT(#REF!,6)='NCR 세부 수량 파악'!E6))</f>
        <v>#REF!</v>
      </c>
      <c r="M6" s="2" t="s">
        <v>98</v>
      </c>
      <c r="N6" s="2" t="s">
        <v>54</v>
      </c>
      <c r="O6" s="2">
        <v>2</v>
      </c>
      <c r="Q6" s="2" t="s">
        <v>98</v>
      </c>
      <c r="R6" s="2" t="s">
        <v>54</v>
      </c>
      <c r="S6" s="2">
        <v>124</v>
      </c>
      <c r="U6" s="2" t="s">
        <v>98</v>
      </c>
      <c r="V6" s="2" t="s">
        <v>54</v>
      </c>
      <c r="W6" s="2">
        <v>0</v>
      </c>
      <c r="Y6" s="2" t="s">
        <v>98</v>
      </c>
      <c r="Z6" s="2" t="s">
        <v>107</v>
      </c>
      <c r="AA6" s="2">
        <v>0</v>
      </c>
      <c r="AC6" s="2" t="s">
        <v>98</v>
      </c>
      <c r="AD6" s="2" t="s">
        <v>54</v>
      </c>
      <c r="AE6" s="2">
        <v>0</v>
      </c>
      <c r="AG6" s="2" t="s">
        <v>98</v>
      </c>
      <c r="AH6" s="2" t="s">
        <v>54</v>
      </c>
      <c r="AI6" s="2">
        <v>0</v>
      </c>
    </row>
    <row r="7" spans="2:35" x14ac:dyDescent="0.3">
      <c r="B7" s="60"/>
      <c r="C7" s="2" t="s">
        <v>28</v>
      </c>
      <c r="D7" s="2" t="s">
        <v>109</v>
      </c>
      <c r="E7" s="14" t="s">
        <v>115</v>
      </c>
      <c r="F7" s="23" t="e" cm="1">
        <f t="array" ref="F7">SUMPRODUCT((#REF!="V5.2")*(LEFT(#REF!,6)='NCR 세부 수량 파악'!E7))</f>
        <v>#REF!</v>
      </c>
      <c r="G7" s="23" t="e" cm="1">
        <f t="array" ref="G7">SUMPRODUCT((#REF!="V5.5")*(LEFT(#REF!,6)='NCR 세부 수량 파악'!E7))</f>
        <v>#REF!</v>
      </c>
      <c r="H7" s="23" t="e" cm="1">
        <f t="array" ref="H7">SUMPRODUCT((#REF!="V5.6")*(LEFT(#REF!,6)='NCR 세부 수량 파악'!E7))</f>
        <v>#REF!</v>
      </c>
      <c r="I7" s="23" t="e" cm="1">
        <f t="array" ref="I7">SUMPRODUCT((#REF!="V5.7")*(LEFT(#REF!,6)='NCR 세부 수량 파악'!E7))</f>
        <v>#REF!</v>
      </c>
      <c r="J7" s="23" t="e" cm="1">
        <f t="array" ref="J7">SUMPRODUCT((#REF!="V5.8")*(LEFT(#REF!,6)='NCR 세부 수량 파악'!E7))</f>
        <v>#REF!</v>
      </c>
      <c r="K7" s="24" t="e" cm="1">
        <f t="array" ref="K7">SUMPRODUCT((#REF!="6T")*(LEFT(#REF!,6)='NCR 세부 수량 파악'!E7))</f>
        <v>#REF!</v>
      </c>
      <c r="M7" s="2" t="s">
        <v>99</v>
      </c>
      <c r="N7" s="2" t="s">
        <v>56</v>
      </c>
      <c r="O7" s="2">
        <v>0</v>
      </c>
      <c r="Q7" s="2" t="s">
        <v>99</v>
      </c>
      <c r="R7" s="2" t="s">
        <v>56</v>
      </c>
      <c r="S7" s="2">
        <v>96</v>
      </c>
      <c r="U7" s="2" t="s">
        <v>99</v>
      </c>
      <c r="V7" s="2" t="s">
        <v>56</v>
      </c>
      <c r="W7" s="2">
        <v>0</v>
      </c>
      <c r="Y7" s="2" t="s">
        <v>99</v>
      </c>
      <c r="Z7" s="2" t="s">
        <v>108</v>
      </c>
      <c r="AA7" s="2">
        <v>0</v>
      </c>
      <c r="AC7" s="2" t="s">
        <v>99</v>
      </c>
      <c r="AD7" s="2" t="s">
        <v>56</v>
      </c>
      <c r="AE7" s="2">
        <v>0</v>
      </c>
      <c r="AG7" s="2" t="s">
        <v>99</v>
      </c>
      <c r="AH7" s="2" t="s">
        <v>56</v>
      </c>
      <c r="AI7" s="2">
        <v>0</v>
      </c>
    </row>
    <row r="8" spans="2:35" x14ac:dyDescent="0.3">
      <c r="B8" s="60"/>
      <c r="C8" s="2" t="s">
        <v>29</v>
      </c>
      <c r="D8" s="2" t="s">
        <v>77</v>
      </c>
      <c r="E8" s="14" t="s">
        <v>37</v>
      </c>
      <c r="F8" s="23" t="e" cm="1">
        <f t="array" ref="F8">SUMPRODUCT((#REF!="V5.2")*(LEFT(#REF!,6)='NCR 세부 수량 파악'!E8))</f>
        <v>#REF!</v>
      </c>
      <c r="G8" s="23" t="e" cm="1">
        <f t="array" ref="G8">SUMPRODUCT((#REF!="V5.5")*(LEFT(#REF!,6)='NCR 세부 수량 파악'!E8))</f>
        <v>#REF!</v>
      </c>
      <c r="H8" s="23" t="e" cm="1">
        <f t="array" ref="H8">SUMPRODUCT((#REF!="V5.6")*(LEFT(#REF!,6)='NCR 세부 수량 파악'!E8))</f>
        <v>#REF!</v>
      </c>
      <c r="I8" s="23" t="e" cm="1">
        <f t="array" ref="I8">SUMPRODUCT((#REF!="V5.7")*(LEFT(#REF!,6)='NCR 세부 수량 파악'!E8))</f>
        <v>#REF!</v>
      </c>
      <c r="J8" s="23" t="e" cm="1">
        <f t="array" ref="J8">SUMPRODUCT((#REF!="V5.8")*(LEFT(#REF!,6)='NCR 세부 수량 파악'!E8))</f>
        <v>#REF!</v>
      </c>
      <c r="K8" s="24" t="e" cm="1">
        <f t="array" ref="K8">SUMPRODUCT((#REF!="6T")*(LEFT(#REF!,6)='NCR 세부 수량 파악'!E8))</f>
        <v>#REF!</v>
      </c>
      <c r="M8" s="57" t="s">
        <v>59</v>
      </c>
      <c r="N8" s="58"/>
      <c r="O8" s="42">
        <f>SUM(O5:O7)</f>
        <v>14</v>
      </c>
      <c r="P8" s="39"/>
      <c r="Q8" s="57" t="s">
        <v>59</v>
      </c>
      <c r="R8" s="58"/>
      <c r="S8" s="42">
        <f>SUM(S5:S7)</f>
        <v>244</v>
      </c>
      <c r="T8" s="39"/>
      <c r="U8" s="57" t="s">
        <v>59</v>
      </c>
      <c r="V8" s="58"/>
      <c r="W8" s="42">
        <f>SUM(W5:W7)</f>
        <v>17</v>
      </c>
      <c r="X8" s="39"/>
      <c r="Y8" s="57" t="s">
        <v>59</v>
      </c>
      <c r="Z8" s="58"/>
      <c r="AA8" s="42">
        <f>SUM(AA5:AA7)</f>
        <v>11</v>
      </c>
      <c r="AC8" s="57" t="s">
        <v>59</v>
      </c>
      <c r="AD8" s="58"/>
      <c r="AE8" s="42">
        <f>SUM(AE5:AE7)</f>
        <v>6</v>
      </c>
      <c r="AG8" s="57" t="s">
        <v>59</v>
      </c>
      <c r="AH8" s="58"/>
      <c r="AI8" s="42">
        <f>SUM(AI5:AI7)</f>
        <v>12</v>
      </c>
    </row>
    <row r="9" spans="2:35" x14ac:dyDescent="0.3">
      <c r="B9" s="60"/>
      <c r="C9" s="2" t="s">
        <v>30</v>
      </c>
      <c r="D9" s="2" t="s">
        <v>78</v>
      </c>
      <c r="E9" s="14" t="s">
        <v>38</v>
      </c>
      <c r="F9" s="23" t="e" cm="1">
        <f t="array" ref="F9">SUMPRODUCT((#REF!="V5.2")*(LEFT(#REF!,6)='NCR 세부 수량 파악'!E9))</f>
        <v>#REF!</v>
      </c>
      <c r="G9" s="23" t="e" cm="1">
        <f t="array" ref="G9">SUMPRODUCT((#REF!="V5.5")*(LEFT(#REF!,6)='NCR 세부 수량 파악'!E9))</f>
        <v>#REF!</v>
      </c>
      <c r="H9" s="23" t="e" cm="1">
        <f t="array" ref="H9">SUMPRODUCT((#REF!="V5.6")*(LEFT(#REF!,6)='NCR 세부 수량 파악'!E9))</f>
        <v>#REF!</v>
      </c>
      <c r="I9" s="23" t="e" cm="1">
        <f t="array" ref="I9">SUMPRODUCT((#REF!="V5.7")*(LEFT(#REF!,6)='NCR 세부 수량 파악'!E9))</f>
        <v>#REF!</v>
      </c>
      <c r="J9" s="23" t="e" cm="1">
        <f t="array" ref="J9">SUMPRODUCT((#REF!="V5.8")*(LEFT(#REF!,6)='NCR 세부 수량 파악'!E9))</f>
        <v>#REF!</v>
      </c>
      <c r="K9" s="24" t="e" cm="1">
        <f t="array" ref="K9">SUMPRODUCT((#REF!="6T")*(LEFT(#REF!,6)='NCR 세부 수량 파악'!E9))</f>
        <v>#REF!</v>
      </c>
    </row>
    <row r="10" spans="2:35" x14ac:dyDescent="0.3">
      <c r="B10" s="60"/>
      <c r="C10" s="2" t="s">
        <v>31</v>
      </c>
      <c r="D10" s="2" t="s">
        <v>79</v>
      </c>
      <c r="E10" s="14" t="s">
        <v>39</v>
      </c>
      <c r="F10" s="23" t="e" cm="1">
        <f t="array" ref="F10">SUMPRODUCT((#REF!="V5.2")*(LEFT(#REF!,6)='NCR 세부 수량 파악'!E10))</f>
        <v>#REF!</v>
      </c>
      <c r="G10" s="23" t="e" cm="1">
        <f t="array" ref="G10">SUMPRODUCT((#REF!="V5.5")*(LEFT(#REF!,6)='NCR 세부 수량 파악'!E10))</f>
        <v>#REF!</v>
      </c>
      <c r="H10" s="23" t="e" cm="1">
        <f t="array" ref="H10">SUMPRODUCT((#REF!="V5.6")*(LEFT(#REF!,6)='NCR 세부 수량 파악'!E10))</f>
        <v>#REF!</v>
      </c>
      <c r="I10" s="23" t="e" cm="1">
        <f t="array" ref="I10">SUMPRODUCT((#REF!="V5.7")*(LEFT(#REF!,6)='NCR 세부 수량 파악'!E10))</f>
        <v>#REF!</v>
      </c>
      <c r="J10" s="23" t="e" cm="1">
        <f t="array" ref="J10">SUMPRODUCT((#REF!="V5.8")*(LEFT(#REF!,6)='NCR 세부 수량 파악'!E10))</f>
        <v>#REF!</v>
      </c>
      <c r="K10" s="24" t="e" cm="1">
        <f t="array" ref="K10">SUMPRODUCT((#REF!="6T")*(LEFT(#REF!,6)='NCR 세부 수량 파악'!E10))</f>
        <v>#REF!</v>
      </c>
      <c r="M10" s="38" t="s">
        <v>60</v>
      </c>
      <c r="Q10" s="38" t="s">
        <v>60</v>
      </c>
      <c r="U10" s="38" t="s">
        <v>104</v>
      </c>
      <c r="AC10" s="38" t="s">
        <v>111</v>
      </c>
      <c r="AD10" s="1"/>
      <c r="AE10" s="1"/>
      <c r="AG10" s="38" t="s">
        <v>103</v>
      </c>
      <c r="AH10" s="1"/>
      <c r="AI10" s="1"/>
    </row>
    <row r="11" spans="2:35" x14ac:dyDescent="0.3">
      <c r="B11" s="60"/>
      <c r="C11" s="2" t="s">
        <v>33</v>
      </c>
      <c r="D11" s="2" t="s">
        <v>80</v>
      </c>
      <c r="E11" s="14" t="s">
        <v>69</v>
      </c>
      <c r="F11" s="23" t="e" cm="1">
        <f t="array" ref="F11">SUMPRODUCT((#REF!="V5.2")*(LEFT(#REF!,6)='NCR 세부 수량 파악'!E11))</f>
        <v>#REF!</v>
      </c>
      <c r="G11" s="23" t="e" cm="1">
        <f t="array" ref="G11">SUMPRODUCT((#REF!="V5.5")*(LEFT(#REF!,6)='NCR 세부 수량 파악'!E11))</f>
        <v>#REF!</v>
      </c>
      <c r="H11" s="23" t="e" cm="1">
        <f t="array" ref="H11">SUMPRODUCT((#REF!="V5.6")*(LEFT(#REF!,6)='NCR 세부 수량 파악'!E11))</f>
        <v>#REF!</v>
      </c>
      <c r="I11" s="23" t="e" cm="1">
        <f t="array" ref="I11">SUMPRODUCT((#REF!="V5.7")*(LEFT(#REF!,6)='NCR 세부 수량 파악'!E11))</f>
        <v>#REF!</v>
      </c>
      <c r="J11" s="23" t="e" cm="1">
        <f t="array" ref="J11">SUMPRODUCT((#REF!="V5.8")*(LEFT(#REF!,6)='NCR 세부 수량 파악'!E11))</f>
        <v>#REF!</v>
      </c>
      <c r="K11" s="24" t="e" cm="1">
        <f t="array" ref="K11">SUMPRODUCT((#REF!="6T")*(LEFT(#REF!,6)='NCR 세부 수량 파악'!E11))</f>
        <v>#REF!</v>
      </c>
      <c r="M11" s="41" t="s">
        <v>57</v>
      </c>
      <c r="N11" s="41" t="s">
        <v>64</v>
      </c>
      <c r="O11" s="41" t="s">
        <v>21</v>
      </c>
      <c r="Q11" s="41" t="s">
        <v>57</v>
      </c>
      <c r="R11" s="41" t="s">
        <v>64</v>
      </c>
      <c r="S11" s="41" t="s">
        <v>21</v>
      </c>
      <c r="U11" s="41" t="s">
        <v>57</v>
      </c>
      <c r="V11" s="41" t="s">
        <v>65</v>
      </c>
      <c r="W11" s="41" t="s">
        <v>21</v>
      </c>
      <c r="AC11" s="41" t="s">
        <v>57</v>
      </c>
      <c r="AD11" s="41" t="s">
        <v>64</v>
      </c>
      <c r="AE11" s="41" t="s">
        <v>21</v>
      </c>
      <c r="AG11" s="41" t="s">
        <v>57</v>
      </c>
      <c r="AH11" s="41" t="s">
        <v>65</v>
      </c>
      <c r="AI11" s="41" t="s">
        <v>21</v>
      </c>
    </row>
    <row r="12" spans="2:35" ht="17.25" thickBot="1" x14ac:dyDescent="0.35">
      <c r="B12" s="61"/>
      <c r="C12" s="25" t="s">
        <v>71</v>
      </c>
      <c r="D12" s="25" t="s">
        <v>81</v>
      </c>
      <c r="E12" s="30" t="s">
        <v>70</v>
      </c>
      <c r="F12" s="31" t="e" cm="1">
        <f t="array" ref="F12">SUMPRODUCT((#REF!="V5.2")*(LEFT(#REF!,6)='NCR 세부 수량 파악'!E12))</f>
        <v>#REF!</v>
      </c>
      <c r="G12" s="31" t="e" cm="1">
        <f t="array" ref="G12">SUMPRODUCT((#REF!="V5.5")*(LEFT(#REF!,6)='NCR 세부 수량 파악'!E12))</f>
        <v>#REF!</v>
      </c>
      <c r="H12" s="31" t="e" cm="1">
        <f t="array" ref="H12">SUMPRODUCT((#REF!="V5.6")*(LEFT(#REF!,6)='NCR 세부 수량 파악'!E12))</f>
        <v>#REF!</v>
      </c>
      <c r="I12" s="31" t="e" cm="1">
        <f t="array" ref="I12">SUMPRODUCT((#REF!="V5.7")*(LEFT(#REF!,6)='NCR 세부 수량 파악'!E12))</f>
        <v>#REF!</v>
      </c>
      <c r="J12" s="31" t="e" cm="1">
        <f t="array" ref="J12">SUMPRODUCT((#REF!="V5.8")*(LEFT(#REF!,6)='NCR 세부 수량 파악'!E12))</f>
        <v>#REF!</v>
      </c>
      <c r="K12" s="32" t="e" cm="1">
        <f t="array" ref="K12">SUMPRODUCT((#REF!="6T")*(LEFT(#REF!,6)='NCR 세부 수량 파악'!E12))</f>
        <v>#REF!</v>
      </c>
      <c r="M12" s="2" t="s">
        <v>97</v>
      </c>
      <c r="N12" s="2" t="s">
        <v>106</v>
      </c>
      <c r="O12" s="2">
        <v>26</v>
      </c>
      <c r="Q12" s="2" t="s">
        <v>97</v>
      </c>
      <c r="R12" s="2" t="s">
        <v>106</v>
      </c>
      <c r="S12" s="2">
        <v>102</v>
      </c>
      <c r="U12" s="2" t="s">
        <v>98</v>
      </c>
      <c r="V12" s="2" t="s">
        <v>61</v>
      </c>
      <c r="W12" s="2">
        <v>112</v>
      </c>
      <c r="AC12" s="2" t="s">
        <v>97</v>
      </c>
      <c r="AD12" s="2" t="s">
        <v>112</v>
      </c>
      <c r="AE12" s="2">
        <v>2</v>
      </c>
      <c r="AG12" s="2" t="s">
        <v>97</v>
      </c>
      <c r="AH12" s="2" t="s">
        <v>101</v>
      </c>
      <c r="AI12" s="2">
        <v>52</v>
      </c>
    </row>
    <row r="13" spans="2:35" x14ac:dyDescent="0.3">
      <c r="B13" s="59" t="s">
        <v>34</v>
      </c>
      <c r="C13" s="26" t="s">
        <v>26</v>
      </c>
      <c r="D13" s="26" t="s">
        <v>82</v>
      </c>
      <c r="E13" s="27" t="s">
        <v>93</v>
      </c>
      <c r="F13" s="28" t="e" cm="1">
        <f t="array" ref="F13">SUMPRODUCT((#REF!="V5.2")*(LEFT(#REF!,6)='NCR 세부 수량 파악'!E13))</f>
        <v>#REF!</v>
      </c>
      <c r="G13" s="28" t="e" cm="1">
        <f t="array" ref="G13">SUMPRODUCT((#REF!="V5.5")*(LEFT(#REF!,6)='NCR 세부 수량 파악'!E13))</f>
        <v>#REF!</v>
      </c>
      <c r="H13" s="28" t="e" cm="1">
        <f t="array" ref="H13">SUMPRODUCT((#REF!="V5.6")*(LEFT(#REF!,6)='NCR 세부 수량 파악'!E13))</f>
        <v>#REF!</v>
      </c>
      <c r="I13" s="28" t="e" cm="1">
        <f t="array" ref="I13">SUMPRODUCT((#REF!="V5.7")*(LEFT(#REF!,6)='NCR 세부 수량 파악'!E13))</f>
        <v>#REF!</v>
      </c>
      <c r="J13" s="28" t="e" cm="1">
        <f t="array" ref="J13">SUMPRODUCT((#REF!="V5.8")*(LEFT(#REF!,6)='NCR 세부 수량 파악'!E13))</f>
        <v>#REF!</v>
      </c>
      <c r="K13" s="29" t="e" cm="1">
        <f t="array" ref="K13">SUMPRODUCT((#REF!="6T")*(LEFT(#REF!,6)='NCR 세부 수량 파악'!E13))</f>
        <v>#REF!</v>
      </c>
      <c r="M13" s="2" t="s">
        <v>98</v>
      </c>
      <c r="N13" s="2" t="s">
        <v>107</v>
      </c>
      <c r="O13" s="2">
        <v>0</v>
      </c>
      <c r="Q13" s="2" t="s">
        <v>98</v>
      </c>
      <c r="R13" s="2" t="s">
        <v>107</v>
      </c>
      <c r="S13" s="2">
        <v>7</v>
      </c>
      <c r="U13" s="2" t="s">
        <v>99</v>
      </c>
      <c r="V13" s="2" t="s">
        <v>62</v>
      </c>
      <c r="W13" s="2">
        <v>237</v>
      </c>
      <c r="AC13" s="2" t="s">
        <v>98</v>
      </c>
      <c r="AD13" s="2" t="s">
        <v>113</v>
      </c>
      <c r="AE13" s="2">
        <v>0</v>
      </c>
      <c r="AG13" s="2" t="s">
        <v>98</v>
      </c>
      <c r="AH13" s="2" t="s">
        <v>101</v>
      </c>
      <c r="AI13" s="2">
        <v>4</v>
      </c>
    </row>
    <row r="14" spans="2:35" x14ac:dyDescent="0.3">
      <c r="B14" s="60"/>
      <c r="C14" s="2" t="s">
        <v>27</v>
      </c>
      <c r="D14" s="2" t="s">
        <v>83</v>
      </c>
      <c r="E14" s="14" t="s">
        <v>27</v>
      </c>
      <c r="F14" s="23" t="e" cm="1">
        <f t="array" ref="F14">SUMPRODUCT((#REF!="V5.2")*(LEFT(#REF!,6)='NCR 세부 수량 파악'!E14))</f>
        <v>#REF!</v>
      </c>
      <c r="G14" s="23" t="e" cm="1">
        <f t="array" ref="G14">SUMPRODUCT((#REF!="V5.5")*(LEFT(#REF!,6)='NCR 세부 수량 파악'!E14))</f>
        <v>#REF!</v>
      </c>
      <c r="H14" s="23" t="e" cm="1">
        <f t="array" ref="H14">SUMPRODUCT((#REF!="V5.6")*(LEFT(#REF!,6)='NCR 세부 수량 파악'!E14))</f>
        <v>#REF!</v>
      </c>
      <c r="I14" s="23" t="e" cm="1">
        <f t="array" ref="I14">SUMPRODUCT((#REF!="V5.7")*(LEFT(#REF!,6)='NCR 세부 수량 파악'!E14))</f>
        <v>#REF!</v>
      </c>
      <c r="J14" s="23" t="e" cm="1">
        <f t="array" ref="J14">SUMPRODUCT((#REF!="V5.8")*(LEFT(#REF!,6)='NCR 세부 수량 파악'!E14))</f>
        <v>#REF!</v>
      </c>
      <c r="K14" s="24" t="e" cm="1">
        <f t="array" ref="K14">SUMPRODUCT((#REF!="6T")*(LEFT(#REF!,6)='NCR 세부 수량 파악'!E14))</f>
        <v>#REF!</v>
      </c>
      <c r="M14" s="2" t="s">
        <v>99</v>
      </c>
      <c r="N14" s="2" t="s">
        <v>108</v>
      </c>
      <c r="O14" s="2">
        <v>0</v>
      </c>
      <c r="Q14" s="2" t="s">
        <v>99</v>
      </c>
      <c r="R14" s="2" t="s">
        <v>108</v>
      </c>
      <c r="S14" s="2">
        <v>0</v>
      </c>
      <c r="U14" s="2"/>
      <c r="V14" s="2"/>
      <c r="W14" s="2"/>
      <c r="AC14" s="2" t="s">
        <v>99</v>
      </c>
      <c r="AD14" s="2" t="s">
        <v>114</v>
      </c>
      <c r="AE14" s="2">
        <v>0</v>
      </c>
      <c r="AG14" s="2" t="s">
        <v>99</v>
      </c>
      <c r="AH14" s="44" t="s">
        <v>100</v>
      </c>
      <c r="AI14" s="2">
        <v>24</v>
      </c>
    </row>
    <row r="15" spans="2:35" x14ac:dyDescent="0.3">
      <c r="B15" s="60"/>
      <c r="C15" s="2" t="s">
        <v>28</v>
      </c>
      <c r="D15" s="2" t="s">
        <v>84</v>
      </c>
      <c r="E15" s="14" t="s">
        <v>28</v>
      </c>
      <c r="F15" s="23" t="e" cm="1">
        <f t="array" ref="F15">SUMPRODUCT((#REF!="V5.2")*(LEFT(#REF!,6)='NCR 세부 수량 파악'!E15))</f>
        <v>#REF!</v>
      </c>
      <c r="G15" s="23" t="e" cm="1">
        <f t="array" ref="G15">SUMPRODUCT((#REF!="V5.5")*(LEFT(#REF!,6)='NCR 세부 수량 파악'!E15))</f>
        <v>#REF!</v>
      </c>
      <c r="H15" s="23" t="e" cm="1">
        <f t="array" ref="H15">SUMPRODUCT((#REF!="V5.6")*(LEFT(#REF!,6)='NCR 세부 수량 파악'!E15))</f>
        <v>#REF!</v>
      </c>
      <c r="I15" s="23" t="e" cm="1">
        <f t="array" ref="I15">SUMPRODUCT((#REF!="V5.7")*(LEFT(#REF!,6)='NCR 세부 수량 파악'!E15))</f>
        <v>#REF!</v>
      </c>
      <c r="J15" s="23" t="e" cm="1">
        <f t="array" ref="J15">SUMPRODUCT((#REF!="V5.8")*(LEFT(#REF!,6)='NCR 세부 수량 파악'!E15))</f>
        <v>#REF!</v>
      </c>
      <c r="K15" s="24" t="e" cm="1">
        <f t="array" ref="K15">SUMPRODUCT((#REF!="6T")*(LEFT(#REF!,6)='NCR 세부 수량 파악'!E15))</f>
        <v>#REF!</v>
      </c>
      <c r="M15" s="57" t="s">
        <v>59</v>
      </c>
      <c r="N15" s="58"/>
      <c r="O15" s="42">
        <f>SUM(O12:O14)</f>
        <v>26</v>
      </c>
      <c r="P15" s="39"/>
      <c r="Q15" s="57" t="s">
        <v>59</v>
      </c>
      <c r="R15" s="58"/>
      <c r="S15" s="42">
        <f>SUM(S12:S14)</f>
        <v>109</v>
      </c>
      <c r="T15" s="39"/>
      <c r="U15" s="57" t="s">
        <v>59</v>
      </c>
      <c r="V15" s="58"/>
      <c r="W15" s="42">
        <f>SUM(W12:W14)</f>
        <v>349</v>
      </c>
      <c r="X15" s="39"/>
      <c r="AC15" s="57" t="s">
        <v>59</v>
      </c>
      <c r="AD15" s="58"/>
      <c r="AE15" s="42">
        <f>SUM(AE12:AE14)</f>
        <v>2</v>
      </c>
      <c r="AG15" s="56" t="s">
        <v>59</v>
      </c>
      <c r="AH15" s="56"/>
      <c r="AI15" s="42">
        <f>AI12+AI13+AI14</f>
        <v>80</v>
      </c>
    </row>
    <row r="16" spans="2:35" x14ac:dyDescent="0.3">
      <c r="B16" s="60"/>
      <c r="C16" s="2" t="s">
        <v>29</v>
      </c>
      <c r="D16" s="2" t="s">
        <v>85</v>
      </c>
      <c r="E16" s="14" t="s">
        <v>29</v>
      </c>
      <c r="F16" s="23" t="e" cm="1">
        <f t="array" ref="F16">SUMPRODUCT((#REF!="V5.2")*(LEFT(#REF!,6)='NCR 세부 수량 파악'!E16))</f>
        <v>#REF!</v>
      </c>
      <c r="G16" s="23" t="e" cm="1">
        <f t="array" ref="G16">SUMPRODUCT((#REF!="V5.5")*(LEFT(#REF!,6)='NCR 세부 수량 파악'!E16))</f>
        <v>#REF!</v>
      </c>
      <c r="H16" s="23" t="e" cm="1">
        <f t="array" ref="H16">SUMPRODUCT((#REF!="V5.6")*(LEFT(#REF!,6)='NCR 세부 수량 파악'!E16))</f>
        <v>#REF!</v>
      </c>
      <c r="I16" s="23" t="e" cm="1">
        <f t="array" ref="I16">SUMPRODUCT((#REF!="V5.7")*(LEFT(#REF!,6)='NCR 세부 수량 파악'!E16))</f>
        <v>#REF!</v>
      </c>
      <c r="J16" s="23" t="e" cm="1">
        <f t="array" ref="J16">SUMPRODUCT((#REF!="V5.8")*(LEFT(#REF!,6)='NCR 세부 수량 파악'!E16))</f>
        <v>#REF!</v>
      </c>
      <c r="K16" s="24" t="e" cm="1">
        <f t="array" ref="K16">SUMPRODUCT((#REF!="6T")*(LEFT(#REF!,6)='NCR 세부 수량 파악'!E16))</f>
        <v>#REF!</v>
      </c>
    </row>
    <row r="17" spans="2:35" x14ac:dyDescent="0.3">
      <c r="B17" s="60"/>
      <c r="C17" s="2" t="s">
        <v>30</v>
      </c>
      <c r="D17" s="2" t="s">
        <v>86</v>
      </c>
      <c r="E17" s="14" t="s">
        <v>30</v>
      </c>
      <c r="F17" s="23" t="e" cm="1">
        <f t="array" ref="F17">SUMPRODUCT((#REF!="V5.2")*(LEFT(#REF!,6)='NCR 세부 수량 파악'!E17))</f>
        <v>#REF!</v>
      </c>
      <c r="G17" s="23" t="e" cm="1">
        <f t="array" ref="G17">SUMPRODUCT((#REF!="V5.5")*(LEFT(#REF!,6)='NCR 세부 수량 파악'!E17))</f>
        <v>#REF!</v>
      </c>
      <c r="H17" s="23" t="e" cm="1">
        <f t="array" ref="H17">SUMPRODUCT((#REF!="V5.6")*(LEFT(#REF!,6)='NCR 세부 수량 파악'!E17))</f>
        <v>#REF!</v>
      </c>
      <c r="I17" s="23" t="e" cm="1">
        <f t="array" ref="I17">SUMPRODUCT((#REF!="V5.7")*(LEFT(#REF!,6)='NCR 세부 수량 파악'!E17))</f>
        <v>#REF!</v>
      </c>
      <c r="J17" s="23" t="e" cm="1">
        <f t="array" ref="J17">SUMPRODUCT((#REF!="V5.8")*(LEFT(#REF!,6)='NCR 세부 수량 파악'!E17))</f>
        <v>#REF!</v>
      </c>
      <c r="K17" s="24" t="e" cm="1">
        <f t="array" ref="K17">SUMPRODUCT((#REF!="6T")*(LEFT(#REF!,6)='NCR 세부 수량 파악'!E17))</f>
        <v>#REF!</v>
      </c>
      <c r="M17" s="38"/>
      <c r="Q17" s="38"/>
      <c r="U17" s="38" t="s">
        <v>105</v>
      </c>
      <c r="AC17" s="38" t="s">
        <v>102</v>
      </c>
      <c r="AD17" s="1"/>
      <c r="AE17" s="1"/>
      <c r="AF17" s="1"/>
      <c r="AG17" s="38"/>
      <c r="AH17" s="1"/>
      <c r="AI17" s="1"/>
    </row>
    <row r="18" spans="2:35" x14ac:dyDescent="0.3">
      <c r="B18" s="60"/>
      <c r="C18" s="2" t="s">
        <v>31</v>
      </c>
      <c r="D18" s="46" t="s">
        <v>87</v>
      </c>
      <c r="E18" s="14" t="s">
        <v>31</v>
      </c>
      <c r="F18" s="23" t="e" cm="1">
        <f t="array" ref="F18">SUMPRODUCT((#REF!="V5.2")*(LEFT(#REF!,6)='NCR 세부 수량 파악'!E18))</f>
        <v>#REF!</v>
      </c>
      <c r="G18" s="23" t="e" cm="1">
        <f t="array" ref="G18">SUMPRODUCT((#REF!="V5.5")*(LEFT(#REF!,6)='NCR 세부 수량 파악'!E18))</f>
        <v>#REF!</v>
      </c>
      <c r="H18" s="23" t="e" cm="1">
        <f t="array" ref="H18">SUMPRODUCT((#REF!="V5.6")*(LEFT(#REF!,6)='NCR 세부 수량 파악'!E18))</f>
        <v>#REF!</v>
      </c>
      <c r="I18" s="23" t="e" cm="1">
        <f t="array" ref="I18">SUMPRODUCT((#REF!="V5.7")*(LEFT(#REF!,6)='NCR 세부 수량 파악'!E18))</f>
        <v>#REF!</v>
      </c>
      <c r="J18" s="23" t="e" cm="1">
        <f t="array" ref="J18">SUMPRODUCT((#REF!="V5.8")*(LEFT(#REF!,6)='NCR 세부 수량 파악'!E18))</f>
        <v>#REF!</v>
      </c>
      <c r="K18" s="24" t="e" cm="1">
        <f t="array" ref="K18">SUMPRODUCT((#REF!="6T")*(LEFT(#REF!,6)='NCR 세부 수량 파악'!E18))</f>
        <v>#REF!</v>
      </c>
      <c r="U18" s="41" t="s">
        <v>57</v>
      </c>
      <c r="V18" s="41" t="s">
        <v>64</v>
      </c>
      <c r="W18" s="41" t="s">
        <v>21</v>
      </c>
      <c r="AC18" s="41" t="s">
        <v>57</v>
      </c>
      <c r="AD18" s="41" t="s">
        <v>65</v>
      </c>
      <c r="AE18" s="41" t="s">
        <v>21</v>
      </c>
      <c r="AF18" s="1"/>
      <c r="AG18" s="1"/>
      <c r="AH18" s="1"/>
      <c r="AI18" s="1"/>
    </row>
    <row r="19" spans="2:35" x14ac:dyDescent="0.3">
      <c r="B19" s="60"/>
      <c r="C19" s="2" t="s">
        <v>33</v>
      </c>
      <c r="D19" s="2" t="s">
        <v>88</v>
      </c>
      <c r="E19" s="14" t="s">
        <v>33</v>
      </c>
      <c r="F19" s="23" t="e" cm="1">
        <f t="array" ref="F19">SUMPRODUCT((#REF!="V5.2")*(LEFT(#REF!,6)='NCR 세부 수량 파악'!E19))</f>
        <v>#REF!</v>
      </c>
      <c r="G19" s="23" t="e" cm="1">
        <f t="array" ref="G19">SUMPRODUCT((#REF!="V5.5")*(LEFT(#REF!,6)='NCR 세부 수량 파악'!E19))</f>
        <v>#REF!</v>
      </c>
      <c r="H19" s="23" t="e" cm="1">
        <f t="array" ref="H19">SUMPRODUCT((#REF!="V5.6")*(LEFT(#REF!,6)='NCR 세부 수량 파악'!E19))</f>
        <v>#REF!</v>
      </c>
      <c r="I19" s="23" t="e" cm="1">
        <f t="array" ref="I19">SUMPRODUCT((#REF!="V5.7")*(LEFT(#REF!,6)='NCR 세부 수량 파악'!E19))</f>
        <v>#REF!</v>
      </c>
      <c r="J19" s="23" t="e" cm="1">
        <f t="array" ref="J19">SUMPRODUCT((#REF!="V5.8")*(LEFT(#REF!,6)='NCR 세부 수량 파악'!E19))</f>
        <v>#REF!</v>
      </c>
      <c r="K19" s="24" t="e" cm="1">
        <f t="array" ref="K19">SUMPRODUCT((#REF!="6T")*(LEFT(#REF!,6)='NCR 세부 수량 파악'!E19))</f>
        <v>#REF!</v>
      </c>
      <c r="U19" s="2" t="s">
        <v>97</v>
      </c>
      <c r="V19" s="2" t="s">
        <v>106</v>
      </c>
      <c r="W19" s="2">
        <v>2</v>
      </c>
      <c r="AC19" s="2" t="s">
        <v>97</v>
      </c>
      <c r="AD19" s="2" t="s">
        <v>101</v>
      </c>
      <c r="AE19" s="2">
        <v>11</v>
      </c>
      <c r="AF19" s="1"/>
      <c r="AG19" s="1"/>
      <c r="AH19" s="1"/>
      <c r="AI19" s="1"/>
    </row>
    <row r="20" spans="2:35" x14ac:dyDescent="0.3">
      <c r="B20" s="60"/>
      <c r="C20" s="2" t="s">
        <v>71</v>
      </c>
      <c r="D20" s="2" t="s">
        <v>89</v>
      </c>
      <c r="E20" s="14" t="s">
        <v>71</v>
      </c>
      <c r="F20" s="23" t="e" cm="1">
        <f t="array" ref="F20">SUMPRODUCT((#REF!="V5.2")*(LEFT(#REF!,6)='NCR 세부 수량 파악'!E20))</f>
        <v>#REF!</v>
      </c>
      <c r="G20" s="23" t="e" cm="1">
        <f t="array" ref="G20">SUMPRODUCT((#REF!="V5.5")*(LEFT(#REF!,6)='NCR 세부 수량 파악'!E20))</f>
        <v>#REF!</v>
      </c>
      <c r="H20" s="23" t="e" cm="1">
        <f t="array" ref="H20">SUMPRODUCT((#REF!="V5.6")*(LEFT(#REF!,6)='NCR 세부 수량 파악'!E20))</f>
        <v>#REF!</v>
      </c>
      <c r="I20" s="23" t="e" cm="1">
        <f t="array" ref="I20">SUMPRODUCT((#REF!="V5.7")*(LEFT(#REF!,6)='NCR 세부 수량 파악'!E20))</f>
        <v>#REF!</v>
      </c>
      <c r="J20" s="23" t="e" cm="1">
        <f t="array" ref="J20">SUMPRODUCT((#REF!="V5.8")*(LEFT(#REF!,6)='NCR 세부 수량 파악'!E20))</f>
        <v>#REF!</v>
      </c>
      <c r="K20" s="24" t="e" cm="1">
        <f t="array" ref="K20">SUMPRODUCT((#REF!="6T")*(LEFT(#REF!,6)='NCR 세부 수량 파악'!E20))</f>
        <v>#REF!</v>
      </c>
      <c r="U20" s="2" t="s">
        <v>98</v>
      </c>
      <c r="V20" s="2" t="s">
        <v>107</v>
      </c>
      <c r="W20" s="2">
        <v>0</v>
      </c>
      <c r="AC20" s="2" t="s">
        <v>98</v>
      </c>
      <c r="AD20" s="2" t="s">
        <v>101</v>
      </c>
      <c r="AE20" s="2">
        <v>0</v>
      </c>
      <c r="AF20" s="1"/>
      <c r="AG20" s="1"/>
      <c r="AH20" s="1"/>
      <c r="AI20" s="1"/>
    </row>
    <row r="21" spans="2:35" x14ac:dyDescent="0.3">
      <c r="B21" s="60"/>
      <c r="C21" s="2" t="s">
        <v>72</v>
      </c>
      <c r="D21" s="2" t="s">
        <v>90</v>
      </c>
      <c r="E21" s="14" t="s">
        <v>72</v>
      </c>
      <c r="F21" s="23" t="e" cm="1">
        <f t="array" ref="F21">SUMPRODUCT((#REF!="V5.2")*(LEFT(#REF!,6)='NCR 세부 수량 파악'!E21))</f>
        <v>#REF!</v>
      </c>
      <c r="G21" s="23" t="e" cm="1">
        <f t="array" ref="G21">SUMPRODUCT((#REF!="V5.5")*(LEFT(#REF!,6)='NCR 세부 수량 파악'!E21))</f>
        <v>#REF!</v>
      </c>
      <c r="H21" s="23" t="e" cm="1">
        <f t="array" ref="H21">SUMPRODUCT((#REF!="V5.6")*(LEFT(#REF!,6)='NCR 세부 수량 파악'!E21))</f>
        <v>#REF!</v>
      </c>
      <c r="I21" s="23" t="e" cm="1">
        <f t="array" ref="I21">SUMPRODUCT((#REF!="V5.7")*(LEFT(#REF!,6)='NCR 세부 수량 파악'!E21))</f>
        <v>#REF!</v>
      </c>
      <c r="J21" s="23" t="e" cm="1">
        <f t="array" ref="J21">SUMPRODUCT((#REF!="V5.8")*(LEFT(#REF!,6)='NCR 세부 수량 파악'!E21))</f>
        <v>#REF!</v>
      </c>
      <c r="K21" s="24" t="e" cm="1">
        <f t="array" ref="K21">SUMPRODUCT((#REF!="6T")*(LEFT(#REF!,6)='NCR 세부 수량 파악'!E21))</f>
        <v>#REF!</v>
      </c>
      <c r="U21" s="2" t="s">
        <v>99</v>
      </c>
      <c r="V21" s="2" t="s">
        <v>108</v>
      </c>
      <c r="W21" s="2">
        <v>0</v>
      </c>
      <c r="AC21" s="2" t="s">
        <v>99</v>
      </c>
      <c r="AD21" s="44" t="s">
        <v>100</v>
      </c>
      <c r="AE21" s="2">
        <v>0</v>
      </c>
      <c r="AF21" s="1"/>
      <c r="AG21" s="1"/>
      <c r="AH21" s="1"/>
      <c r="AI21" s="1"/>
    </row>
    <row r="22" spans="2:35" x14ac:dyDescent="0.3">
      <c r="B22" s="60"/>
      <c r="C22" s="2" t="s">
        <v>73</v>
      </c>
      <c r="D22" s="2" t="s">
        <v>91</v>
      </c>
      <c r="E22" s="14" t="s">
        <v>73</v>
      </c>
      <c r="F22" s="23" t="e" cm="1">
        <f t="array" ref="F22">SUMPRODUCT((#REF!="V5.2")*(LEFT(#REF!,6)='NCR 세부 수량 파악'!E22))</f>
        <v>#REF!</v>
      </c>
      <c r="G22" s="23" t="e" cm="1">
        <f t="array" ref="G22">SUMPRODUCT((#REF!="V5.5")*(LEFT(#REF!,6)='NCR 세부 수량 파악'!E22))</f>
        <v>#REF!</v>
      </c>
      <c r="H22" s="23" t="e" cm="1">
        <f t="array" ref="H22">SUMPRODUCT((#REF!="V5.6")*(LEFT(#REF!,6)='NCR 세부 수량 파악'!E22))</f>
        <v>#REF!</v>
      </c>
      <c r="I22" s="23" t="e" cm="1">
        <f t="array" ref="I22">SUMPRODUCT((#REF!="V5.7")*(LEFT(#REF!,6)='NCR 세부 수량 파악'!E22))</f>
        <v>#REF!</v>
      </c>
      <c r="J22" s="23" t="e" cm="1">
        <f t="array" ref="J22">SUMPRODUCT((#REF!="V5.8")*(LEFT(#REF!,6)='NCR 세부 수량 파악'!E22))</f>
        <v>#REF!</v>
      </c>
      <c r="K22" s="24" t="e" cm="1">
        <f t="array" ref="K22">SUMPRODUCT((#REF!="6T")*(LEFT(#REF!,6)='NCR 세부 수량 파악'!E22))</f>
        <v>#REF!</v>
      </c>
      <c r="U22" s="57" t="s">
        <v>59</v>
      </c>
      <c r="V22" s="58"/>
      <c r="W22" s="42">
        <f>SUM(W19:W21)</f>
        <v>2</v>
      </c>
      <c r="AC22" s="56" t="s">
        <v>59</v>
      </c>
      <c r="AD22" s="56"/>
      <c r="AE22" s="42">
        <f>AE19+AE20+AE21</f>
        <v>11</v>
      </c>
      <c r="AF22" s="1"/>
      <c r="AG22" s="1"/>
      <c r="AH22" s="1"/>
      <c r="AI22" s="1"/>
    </row>
    <row r="23" spans="2:35" ht="17.25" thickBot="1" x14ac:dyDescent="0.35">
      <c r="B23" s="60"/>
      <c r="C23" s="25" t="s">
        <v>74</v>
      </c>
      <c r="D23" s="25" t="s">
        <v>92</v>
      </c>
      <c r="E23" s="30" t="s">
        <v>74</v>
      </c>
      <c r="F23" s="31" t="e" cm="1">
        <f t="array" ref="F23">SUMPRODUCT((#REF!="V5.2")*(LEFT(#REF!,6)='NCR 세부 수량 파악'!E23))</f>
        <v>#REF!</v>
      </c>
      <c r="G23" s="31" t="e" cm="1">
        <f t="array" ref="G23">SUMPRODUCT((#REF!="V5.5")*(LEFT(#REF!,6)='NCR 세부 수량 파악'!E23))</f>
        <v>#REF!</v>
      </c>
      <c r="H23" s="31" t="e" cm="1">
        <f t="array" ref="H23">SUMPRODUCT((#REF!="V5.6")*(LEFT(#REF!,6)='NCR 세부 수량 파악'!E23))</f>
        <v>#REF!</v>
      </c>
      <c r="I23" s="31" t="e" cm="1">
        <f t="array" ref="I23">SUMPRODUCT((#REF!="V5.7")*(LEFT(#REF!,6)='NCR 세부 수량 파악'!E23))</f>
        <v>#REF!</v>
      </c>
      <c r="J23" s="31" t="e" cm="1">
        <f t="array" ref="J23">SUMPRODUCT((#REF!="V5.8")*(LEFT(#REF!,6)='NCR 세부 수량 파악'!E23))</f>
        <v>#REF!</v>
      </c>
      <c r="K23" s="32" t="e" cm="1">
        <f t="array" ref="K23">SUMPRODUCT((#REF!="6T")*(LEFT(#REF!,6)='NCR 세부 수량 파악'!E23))</f>
        <v>#REF!</v>
      </c>
      <c r="AG23" s="1"/>
      <c r="AH23" s="1"/>
      <c r="AI23" s="1"/>
    </row>
    <row r="24" spans="2:35" x14ac:dyDescent="0.3">
      <c r="B24" s="60"/>
      <c r="C24" s="2" t="s">
        <v>46</v>
      </c>
      <c r="D24" s="2" t="s">
        <v>67</v>
      </c>
      <c r="E24" s="14" t="s">
        <v>94</v>
      </c>
      <c r="F24" s="23" t="e" cm="1">
        <f t="array" ref="F24">SUMPRODUCT((#REF!="V5.2")*(LEFT(#REF!,6)='NCR 세부 수량 파악'!E24))</f>
        <v>#REF!</v>
      </c>
      <c r="G24" s="23" t="e" cm="1">
        <f t="array" ref="G24">SUMPRODUCT((#REF!="V5.5")*(LEFT(#REF!,6)='NCR 세부 수량 파악'!E24))</f>
        <v>#REF!</v>
      </c>
      <c r="H24" s="23" t="e" cm="1">
        <f t="array" ref="H24">SUMPRODUCT((#REF!="V5.6")*(LEFT(#REF!,6)='NCR 세부 수량 파악'!E24))</f>
        <v>#REF!</v>
      </c>
      <c r="I24" s="23" t="e" cm="1">
        <f t="array" ref="I24">SUMPRODUCT((#REF!="V5.7")*(LEFT(#REF!,6)='NCR 세부 수량 파악'!E24))</f>
        <v>#REF!</v>
      </c>
      <c r="J24" s="23" t="e" cm="1">
        <f t="array" ref="J24">SUMPRODUCT((#REF!="V5.8")*(LEFT(#REF!,6)='NCR 세부 수량 파악'!E24))</f>
        <v>#REF!</v>
      </c>
      <c r="K24" s="24" t="e" cm="1">
        <f t="array" ref="K24">SUMPRODUCT((#REF!="6T")*(LEFT(#REF!,6)='NCR 세부 수량 파악'!E24))</f>
        <v>#REF!</v>
      </c>
      <c r="AG24" s="1"/>
      <c r="AH24" s="1"/>
      <c r="AI24" s="1"/>
    </row>
    <row r="25" spans="2:35" ht="17.25" thickBot="1" x14ac:dyDescent="0.35">
      <c r="B25" s="61"/>
      <c r="C25" s="2" t="s">
        <v>46</v>
      </c>
      <c r="D25" s="2" t="s">
        <v>96</v>
      </c>
      <c r="E25" s="14" t="s">
        <v>95</v>
      </c>
      <c r="F25" s="23" t="e" cm="1">
        <f t="array" ref="F25">SUMPRODUCT((#REF!="V5.2")*(LEFT(#REF!,6)='NCR 세부 수량 파악'!E25))</f>
        <v>#REF!</v>
      </c>
      <c r="G25" s="23" t="e" cm="1">
        <f t="array" ref="G25">SUMPRODUCT((#REF!="V5.5")*(LEFT(#REF!,6)='NCR 세부 수량 파악'!E25))</f>
        <v>#REF!</v>
      </c>
      <c r="H25" s="23" t="e" cm="1">
        <f t="array" ref="H25">SUMPRODUCT((#REF!="V5.6")*(LEFT(#REF!,6)='NCR 세부 수량 파악'!E25))</f>
        <v>#REF!</v>
      </c>
      <c r="I25" s="23" t="e" cm="1">
        <f t="array" ref="I25">SUMPRODUCT((#REF!="V5.7")*(LEFT(#REF!,6)='NCR 세부 수량 파악'!E25))</f>
        <v>#REF!</v>
      </c>
      <c r="J25" s="23" t="e" cm="1">
        <f t="array" ref="J25">SUMPRODUCT((#REF!="V5.8")*(LEFT(#REF!,6)='NCR 세부 수량 파악'!E25))</f>
        <v>#REF!</v>
      </c>
      <c r="K25" s="24" t="e" cm="1">
        <f t="array" ref="K25">SUMPRODUCT((#REF!="6T")*(LEFT(#REF!,6)='NCR 세부 수량 파악'!E25))</f>
        <v>#REF!</v>
      </c>
      <c r="AG25" s="1"/>
      <c r="AH25" s="1"/>
      <c r="AI25" s="1"/>
    </row>
    <row r="26" spans="2:35" ht="17.25" thickBot="1" x14ac:dyDescent="0.35">
      <c r="B26" s="67" t="s">
        <v>20</v>
      </c>
      <c r="C26" s="68"/>
      <c r="D26" s="68"/>
      <c r="E26" s="68"/>
      <c r="F26" s="33" t="e">
        <f>SUM(F5:F25)</f>
        <v>#REF!</v>
      </c>
      <c r="G26" s="33" t="e">
        <f t="shared" ref="G26:K26" si="0">SUM(G5:G25)</f>
        <v>#REF!</v>
      </c>
      <c r="H26" s="33" t="e">
        <f t="shared" si="0"/>
        <v>#REF!</v>
      </c>
      <c r="I26" s="33" t="e">
        <f>SUM(I5:I25)</f>
        <v>#REF!</v>
      </c>
      <c r="J26" s="33" t="e">
        <f t="shared" si="0"/>
        <v>#REF!</v>
      </c>
      <c r="K26" s="34" t="e">
        <f t="shared" si="0"/>
        <v>#REF!</v>
      </c>
    </row>
    <row r="27" spans="2:35" ht="17.25" thickBot="1" x14ac:dyDescent="0.35">
      <c r="B27" s="62" t="s">
        <v>51</v>
      </c>
      <c r="C27" s="63"/>
      <c r="D27" s="63"/>
      <c r="E27" s="63"/>
      <c r="F27" s="64" t="e">
        <f>SUM(F26:K26)</f>
        <v>#REF!</v>
      </c>
      <c r="G27" s="64"/>
      <c r="H27" s="64"/>
      <c r="I27" s="65"/>
      <c r="J27" s="65"/>
      <c r="K27" s="66"/>
    </row>
  </sheetData>
  <mergeCells count="24">
    <mergeCell ref="B2:K2"/>
    <mergeCell ref="B3:B4"/>
    <mergeCell ref="C3:C4"/>
    <mergeCell ref="D3:D4"/>
    <mergeCell ref="E3:E4"/>
    <mergeCell ref="F3:H3"/>
    <mergeCell ref="B27:E27"/>
    <mergeCell ref="F27:K27"/>
    <mergeCell ref="U15:V15"/>
    <mergeCell ref="B13:B25"/>
    <mergeCell ref="B26:E26"/>
    <mergeCell ref="M15:N15"/>
    <mergeCell ref="Q15:R15"/>
    <mergeCell ref="U22:V22"/>
    <mergeCell ref="AC22:AD22"/>
    <mergeCell ref="AG15:AH15"/>
    <mergeCell ref="AC8:AD8"/>
    <mergeCell ref="AG8:AH8"/>
    <mergeCell ref="B5:B12"/>
    <mergeCell ref="U8:V8"/>
    <mergeCell ref="Q8:R8"/>
    <mergeCell ref="M8:N8"/>
    <mergeCell ref="AC15:AD15"/>
    <mergeCell ref="Y8:Z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1B66-415C-42D7-8130-CA6B5EB0EFBC}">
  <sheetPr codeName="Sheet5"/>
  <dimension ref="B2:U11"/>
  <sheetViews>
    <sheetView zoomScale="80" zoomScaleNormal="80" workbookViewId="0">
      <pane ySplit="2" topLeftCell="A3" activePane="bottomLeft" state="frozen"/>
      <selection pane="bottomLeft" activeCell="K4" sqref="K4"/>
    </sheetView>
  </sheetViews>
  <sheetFormatPr defaultRowHeight="16.5" x14ac:dyDescent="0.3"/>
  <cols>
    <col min="2" max="2" width="9" style="2"/>
    <col min="3" max="3" width="15.625" style="2" customWidth="1"/>
    <col min="4" max="5" width="18.875" style="2" customWidth="1"/>
    <col min="6" max="7" width="17.875" style="2" customWidth="1"/>
    <col min="8" max="8" width="16" style="2" customWidth="1"/>
    <col min="9" max="9" width="11.625" style="3" customWidth="1"/>
    <col min="10" max="10" width="11.625" style="6" customWidth="1"/>
    <col min="11" max="11" width="11.625" style="3" customWidth="1"/>
    <col min="12" max="12" width="11.625" style="6" customWidth="1"/>
    <col min="13" max="14" width="11.625" style="2" customWidth="1"/>
    <col min="15" max="15" width="35.5" style="2" customWidth="1"/>
    <col min="16" max="16" width="13.25" style="2" customWidth="1"/>
    <col min="17" max="17" width="11.625" style="2" customWidth="1"/>
    <col min="18" max="20" width="11.625" style="1" customWidth="1"/>
    <col min="21" max="21" width="9" style="1"/>
  </cols>
  <sheetData>
    <row r="2" spans="2:17" ht="33" customHeight="1" x14ac:dyDescent="0.3">
      <c r="B2" s="4" t="s">
        <v>9</v>
      </c>
      <c r="C2" s="4" t="s">
        <v>0</v>
      </c>
      <c r="D2" s="4" t="s">
        <v>1</v>
      </c>
      <c r="E2" s="4" t="s">
        <v>14</v>
      </c>
      <c r="F2" s="4" t="s">
        <v>3</v>
      </c>
      <c r="G2" s="4" t="s">
        <v>11</v>
      </c>
      <c r="H2" s="4" t="s">
        <v>23</v>
      </c>
      <c r="I2" s="7" t="s">
        <v>4</v>
      </c>
      <c r="J2" s="5" t="s">
        <v>5</v>
      </c>
      <c r="K2" s="7" t="s">
        <v>2</v>
      </c>
      <c r="L2" s="5" t="s">
        <v>117</v>
      </c>
      <c r="M2" s="4" t="s">
        <v>8</v>
      </c>
      <c r="N2" s="4" t="s">
        <v>7</v>
      </c>
      <c r="O2" s="4" t="s">
        <v>6</v>
      </c>
      <c r="P2" s="4" t="s">
        <v>15</v>
      </c>
      <c r="Q2" s="4" t="s">
        <v>16</v>
      </c>
    </row>
    <row r="3" spans="2:17" x14ac:dyDescent="0.3">
      <c r="Q3" s="3"/>
    </row>
    <row r="4" spans="2:17" x14ac:dyDescent="0.3">
      <c r="Q4" s="3"/>
    </row>
    <row r="5" spans="2:17" x14ac:dyDescent="0.3">
      <c r="Q5" s="3"/>
    </row>
    <row r="7" spans="2:17" x14ac:dyDescent="0.3">
      <c r="Q7" s="3"/>
    </row>
    <row r="10" spans="2:17" x14ac:dyDescent="0.3">
      <c r="Q10" s="3"/>
    </row>
    <row r="11" spans="2:17" x14ac:dyDescent="0.3">
      <c r="Q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셀 입출고 확인</vt:lpstr>
      <vt:lpstr>NCR 세부 수량 파악</vt:lpstr>
      <vt:lpstr>프로젝트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박호언</dc:creator>
  <cp:lastModifiedBy>사용자</cp:lastModifiedBy>
  <dcterms:created xsi:type="dcterms:W3CDTF">2025-02-19T00:45:01Z</dcterms:created>
  <dcterms:modified xsi:type="dcterms:W3CDTF">2026-01-16T04:25:30Z</dcterms:modified>
</cp:coreProperties>
</file>