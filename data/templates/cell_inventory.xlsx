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esktop\eurocell-mes-be\data\templates\"/>
    </mc:Choice>
  </mc:AlternateContent>
  <xr:revisionPtr revIDLastSave="0" documentId="13_ncr:1_{16153147-0F09-4C3E-AF7C-27D5CEB1264E}" xr6:coauthVersionLast="47" xr6:coauthVersionMax="47" xr10:uidLastSave="{00000000-0000-0000-0000-000000000000}"/>
  <bookViews>
    <workbookView xWindow="780" yWindow="780" windowWidth="21345" windowHeight="14610" activeTab="1" xr2:uid="{B94CB888-66DB-45FA-8510-A42F0235C97A}"/>
  </bookViews>
  <sheets>
    <sheet name="셀 입출고 확인" sheetId="2" r:id="rId1"/>
    <sheet name="NCR 세부 수량 파악" sheetId="10" r:id="rId2"/>
    <sheet name="프로젝트" sheetId="7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" i="10" l="1"/>
  <c r="N15" i="10"/>
  <c r="J15" i="10"/>
  <c r="AD8" i="10"/>
  <c r="Z15" i="10"/>
  <c r="Z8" i="10"/>
  <c r="R22" i="10"/>
  <c r="AD15" i="10"/>
  <c r="Z22" i="10"/>
  <c r="R8" i="10" l="1"/>
  <c r="N8" i="10"/>
  <c r="J8" i="10"/>
  <c r="R15" i="10" l="1"/>
  <c r="F6" i="10" l="1" a="1"/>
  <c r="F6" i="10" s="1"/>
  <c r="F5" i="10" a="1"/>
  <c r="F5" i="10" s="1"/>
  <c r="F25" i="10" l="1" a="1"/>
  <c r="F25" i="10" s="1"/>
  <c r="F22" i="10" l="1" a="1"/>
  <c r="F22" i="10" s="1"/>
  <c r="F21" i="10" a="1"/>
  <c r="F21" i="10" s="1"/>
  <c r="F20" i="10" a="1"/>
  <c r="F20" i="10" s="1"/>
  <c r="F19" i="10" a="1"/>
  <c r="F19" i="10" s="1"/>
  <c r="F11" i="10" a="1"/>
  <c r="F11" i="10" s="1"/>
  <c r="F10" i="10" a="1"/>
  <c r="F10" i="10" s="1"/>
  <c r="F24" i="10" a="1"/>
  <c r="F24" i="10" s="1"/>
  <c r="F23" i="10" a="1"/>
  <c r="F23" i="10" s="1"/>
  <c r="F18" i="10" a="1"/>
  <c r="F18" i="10" s="1"/>
  <c r="F17" i="10" a="1"/>
  <c r="F17" i="10" s="1"/>
  <c r="F16" i="10" a="1"/>
  <c r="F16" i="10" s="1"/>
  <c r="F15" i="10" a="1"/>
  <c r="F15" i="10" s="1"/>
  <c r="F14" i="10" a="1"/>
  <c r="F14" i="10" s="1"/>
  <c r="F13" i="10" a="1"/>
  <c r="F13" i="10" s="1"/>
  <c r="F12" i="10" a="1"/>
  <c r="F12" i="10" s="1"/>
  <c r="F9" i="10" a="1"/>
  <c r="F9" i="10" s="1"/>
  <c r="F8" i="10" a="1"/>
  <c r="F8" i="10" s="1"/>
  <c r="F7" i="10" a="1"/>
  <c r="F7" i="10" s="1"/>
  <c r="F26" i="10" l="1"/>
  <c r="F27" i="10" l="1"/>
  <c r="G7" i="2" l="1"/>
  <c r="G6" i="2"/>
  <c r="G5" i="2"/>
  <c r="G8" i="2" l="1"/>
  <c r="F7" i="2"/>
  <c r="F6" i="2"/>
  <c r="F5" i="2"/>
  <c r="F8" i="2" l="1"/>
  <c r="E7" i="2" l="1"/>
  <c r="E5" i="2"/>
  <c r="E6" i="2"/>
  <c r="D5" i="2" l="1"/>
  <c r="D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<sst xmlns="http://schemas.openxmlformats.org/spreadsheetml/2006/main" count="248" uniqueCount="115">
  <si>
    <t>Lot No.</t>
    <phoneticPr fontId="1" type="noConversion"/>
  </si>
  <si>
    <t>프로젝트명</t>
    <phoneticPr fontId="1" type="noConversion"/>
  </si>
  <si>
    <t>출고 일자</t>
    <phoneticPr fontId="1" type="noConversion"/>
  </si>
  <si>
    <t>모델</t>
    <phoneticPr fontId="1" type="noConversion"/>
  </si>
  <si>
    <t>보관 일자</t>
    <phoneticPr fontId="1" type="noConversion"/>
  </si>
  <si>
    <t>보관 위치</t>
    <phoneticPr fontId="1" type="noConversion"/>
  </si>
  <si>
    <t>상세</t>
    <phoneticPr fontId="1" type="noConversion"/>
  </si>
  <si>
    <t>인수자</t>
    <phoneticPr fontId="1" type="noConversion"/>
  </si>
  <si>
    <t>인계자</t>
    <phoneticPr fontId="1" type="noConversion"/>
  </si>
  <si>
    <t>No.</t>
    <phoneticPr fontId="1" type="noConversion"/>
  </si>
  <si>
    <t>Project Name</t>
    <phoneticPr fontId="1" type="noConversion"/>
  </si>
  <si>
    <t>등급</t>
    <phoneticPr fontId="1" type="noConversion"/>
  </si>
  <si>
    <t>Project No.</t>
    <phoneticPr fontId="1" type="noConversion"/>
  </si>
  <si>
    <t>상태</t>
    <phoneticPr fontId="1" type="noConversion"/>
  </si>
  <si>
    <t>재입고</t>
    <phoneticPr fontId="1" type="noConversion"/>
  </si>
  <si>
    <t>보유 수량</t>
    <phoneticPr fontId="1" type="noConversion"/>
  </si>
  <si>
    <t>총 입고량</t>
    <phoneticPr fontId="1" type="noConversion"/>
  </si>
  <si>
    <t>총 출고량</t>
    <phoneticPr fontId="1" type="noConversion"/>
  </si>
  <si>
    <t>총 합</t>
    <phoneticPr fontId="1" type="noConversion"/>
  </si>
  <si>
    <t>수량</t>
    <phoneticPr fontId="1" type="noConversion"/>
  </si>
  <si>
    <t>프로젝트 별 Cell 입/출고 현황</t>
    <phoneticPr fontId="1" type="noConversion"/>
  </si>
  <si>
    <t>NCR 등급</t>
    <phoneticPr fontId="1" type="noConversion"/>
  </si>
  <si>
    <t>NCR 종류</t>
    <phoneticPr fontId="1" type="noConversion"/>
  </si>
  <si>
    <t>분류</t>
    <phoneticPr fontId="1" type="noConversion"/>
  </si>
  <si>
    <t>NCR1</t>
    <phoneticPr fontId="1" type="noConversion"/>
  </si>
  <si>
    <t>NCR2</t>
  </si>
  <si>
    <t>NCR3</t>
  </si>
  <si>
    <t>NCR4</t>
  </si>
  <si>
    <t>NCR5</t>
  </si>
  <si>
    <t>NCR6</t>
  </si>
  <si>
    <t>Formation</t>
    <phoneticPr fontId="1" type="noConversion"/>
  </si>
  <si>
    <t>NCR7</t>
  </si>
  <si>
    <t>Inspection</t>
    <phoneticPr fontId="1" type="noConversion"/>
  </si>
  <si>
    <t>F-NCR1</t>
    <phoneticPr fontId="1" type="noConversion"/>
  </si>
  <si>
    <t>F-NCR2</t>
  </si>
  <si>
    <t>F-NCR4</t>
  </si>
  <si>
    <t>F-NCR5</t>
  </si>
  <si>
    <t>F-NCR6</t>
  </si>
  <si>
    <t>표기</t>
    <phoneticPr fontId="1" type="noConversion"/>
  </si>
  <si>
    <t>NCR 세부 구분 현황 표</t>
    <phoneticPr fontId="1" type="noConversion"/>
  </si>
  <si>
    <t>세부사항</t>
    <phoneticPr fontId="1" type="noConversion"/>
  </si>
  <si>
    <t>NCR</t>
    <phoneticPr fontId="1" type="noConversion"/>
  </si>
  <si>
    <t>V5.2</t>
    <phoneticPr fontId="1" type="noConversion"/>
  </si>
  <si>
    <t>창고 내 총 셀 수량</t>
    <phoneticPr fontId="1" type="noConversion"/>
  </si>
  <si>
    <t>기타</t>
    <phoneticPr fontId="1" type="noConversion"/>
  </si>
  <si>
    <t>V5.6</t>
    <phoneticPr fontId="1" type="noConversion"/>
  </si>
  <si>
    <t>V5.5</t>
    <phoneticPr fontId="1" type="noConversion"/>
  </si>
  <si>
    <t>UFC(V5.2)</t>
    <phoneticPr fontId="1" type="noConversion"/>
  </si>
  <si>
    <t>NCR 총 합</t>
    <phoneticPr fontId="1" type="noConversion"/>
  </si>
  <si>
    <t>양품</t>
    <phoneticPr fontId="1" type="noConversion"/>
  </si>
  <si>
    <t>NG</t>
    <phoneticPr fontId="1" type="noConversion"/>
  </si>
  <si>
    <t>3.0~3.9</t>
    <phoneticPr fontId="1" type="noConversion"/>
  </si>
  <si>
    <t>4.0-4.9</t>
    <phoneticPr fontId="1" type="noConversion"/>
  </si>
  <si>
    <t>2.0~2.9</t>
    <phoneticPr fontId="1" type="noConversion"/>
  </si>
  <si>
    <t>구분</t>
    <phoneticPr fontId="1" type="noConversion"/>
  </si>
  <si>
    <t>Cutting</t>
    <phoneticPr fontId="1" type="noConversion"/>
  </si>
  <si>
    <t>합계</t>
    <phoneticPr fontId="1" type="noConversion"/>
  </si>
  <si>
    <t>2. 외관 찍힘</t>
    <phoneticPr fontId="1" type="noConversion"/>
  </si>
  <si>
    <t>1/4 지점 흔들림</t>
    <phoneticPr fontId="1" type="noConversion"/>
  </si>
  <si>
    <t>파우치 들뜸</t>
    <phoneticPr fontId="1" type="noConversion"/>
  </si>
  <si>
    <t>Navitas_6T</t>
    <phoneticPr fontId="1" type="noConversion"/>
  </si>
  <si>
    <t>찍힘 크기, 수량</t>
    <phoneticPr fontId="1" type="noConversion"/>
  </si>
  <si>
    <t>외관</t>
    <phoneticPr fontId="1" type="noConversion"/>
  </si>
  <si>
    <t>V5.8</t>
    <phoneticPr fontId="1" type="noConversion"/>
  </si>
  <si>
    <t>파우치 크랙</t>
    <phoneticPr fontId="1" type="noConversion"/>
  </si>
  <si>
    <t>V5.7</t>
    <phoneticPr fontId="1" type="noConversion"/>
  </si>
  <si>
    <t>F-NCR7</t>
  </si>
  <si>
    <t>F-NCR8</t>
  </si>
  <si>
    <t>NCR8</t>
  </si>
  <si>
    <t>NCR9</t>
  </si>
  <si>
    <t>NCR10</t>
  </si>
  <si>
    <t>NCR11</t>
  </si>
  <si>
    <t>PF 방전용량(Ah)</t>
  </si>
  <si>
    <t>Final 실링 두께(㎛)</t>
  </si>
  <si>
    <t>MF 충전용량(Ah)</t>
  </si>
  <si>
    <t>MF OCV1(aging 전, V)</t>
  </si>
  <si>
    <t>MF OCV2(aging 후, V)</t>
  </si>
  <si>
    <t>MF OCV2 △V(OCV2-OCV1, V)</t>
  </si>
  <si>
    <t>MF 방전용량(Ah)</t>
  </si>
  <si>
    <t>기준용량(Ah)</t>
  </si>
  <si>
    <t>출하충전 OCV3(V)</t>
  </si>
  <si>
    <t>보관 후 출하 OCV4 △V ratio(mV/month)</t>
  </si>
  <si>
    <t>가스 발생 육안검사(여/부, 흔들림 지점)</t>
  </si>
  <si>
    <t>파우치 표면 돌출(직경≤2mm) 수량(개)</t>
  </si>
  <si>
    <t>파우치 표면 긁힘(폭≤0.5mm, 길이＞1mm) 수량(개)</t>
  </si>
  <si>
    <t>파우치 표면 찍힘(직경≤1mm) 수량(개)</t>
  </si>
  <si>
    <t>누액 및 부식(여/부)</t>
  </si>
  <si>
    <t>전지 size(폭, ㎜)</t>
  </si>
  <si>
    <t>전지 두께(mm)</t>
  </si>
  <si>
    <t>전지 무게(g)</t>
  </si>
  <si>
    <t>NCR1</t>
  </si>
  <si>
    <t>기타-1</t>
    <phoneticPr fontId="1" type="noConversion"/>
  </si>
  <si>
    <t>기타-2</t>
    <phoneticPr fontId="1" type="noConversion"/>
  </si>
  <si>
    <t>실란트 돌출 후 화성 진행 셀</t>
    <phoneticPr fontId="1" type="noConversion"/>
  </si>
  <si>
    <t>BA</t>
    <phoneticPr fontId="1" type="noConversion"/>
  </si>
  <si>
    <t>BB</t>
    <phoneticPr fontId="1" type="noConversion"/>
  </si>
  <si>
    <t>BC</t>
    <phoneticPr fontId="1" type="noConversion"/>
  </si>
  <si>
    <t>≥2mm or 2개 이상</t>
    <phoneticPr fontId="1" type="noConversion"/>
  </si>
  <si>
    <t>＜2mm</t>
    <phoneticPr fontId="1" type="noConversion"/>
  </si>
  <si>
    <t>3. 파우치 크랙(NCR_기타-1)</t>
    <phoneticPr fontId="1" type="noConversion"/>
  </si>
  <si>
    <t>2. 파우치 크랙(NCR_기타-1)</t>
    <phoneticPr fontId="1" type="noConversion"/>
  </si>
  <si>
    <t>2. 외관 : 가스</t>
    <phoneticPr fontId="1" type="noConversion"/>
  </si>
  <si>
    <t>3. 외관 : 찍힘</t>
    <phoneticPr fontId="1" type="noConversion"/>
  </si>
  <si>
    <t>10＜수량≤20</t>
  </si>
  <si>
    <t>20＜수량≤30</t>
  </si>
  <si>
    <t>30＜수량≤40</t>
  </si>
  <si>
    <t>Final 실링 Cutting 폭(mm)</t>
    <phoneticPr fontId="1" type="noConversion"/>
  </si>
  <si>
    <t>1. Final 실링 Cutting 폭(7±0.5mm)</t>
  </si>
  <si>
    <t>2. 외관 : 돌출</t>
    <phoneticPr fontId="1" type="noConversion"/>
  </si>
  <si>
    <t>4＜수량≤6</t>
  </si>
  <si>
    <t>6＜수량≤8</t>
  </si>
  <si>
    <t>8＜수량≤10</t>
  </si>
  <si>
    <t>F-NCR3</t>
    <phoneticPr fontId="1" type="noConversion"/>
  </si>
  <si>
    <t>1. 외관 찍힘</t>
    <phoneticPr fontId="1" type="noConversion"/>
  </si>
  <si>
    <t>출고 현황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</si>
</sst>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,##0_);[Red]\(#,##0\)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rgb="FFFF0000"/>
      <name val="맑은 고딕"/>
      <family val="3"/>
      <charset val="129"/>
      <scheme val="minor"/>
    </font>
    <font>
      <sz val="12"/>
      <color rgb="FF0070C0"/>
      <name val="맑은 고딕"/>
      <family val="3"/>
      <charset val="129"/>
      <scheme val="minor"/>
    </font>
    <font>
      <sz val="12"/>
      <color rgb="FFC0000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</cellStyleXfs>
  <cellXfs count="7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9" fontId="7" fillId="2" borderId="10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6" fillId="0" borderId="1" xfId="1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41" fontId="4" fillId="0" borderId="1" xfId="1" applyFont="1" applyBorder="1" applyAlignment="1">
      <alignment horizontal="center" vertical="center"/>
    </xf>
    <xf numFmtId="41" fontId="3" fillId="0" borderId="6" xfId="1" applyFont="1" applyBorder="1" applyAlignment="1">
      <alignment horizontal="center" vertical="center"/>
    </xf>
    <xf numFmtId="41" fontId="7" fillId="3" borderId="11" xfId="1" applyFont="1" applyFill="1" applyBorder="1" applyAlignment="1">
      <alignment horizontal="center" vertical="center"/>
    </xf>
    <xf numFmtId="41" fontId="7" fillId="3" borderId="4" xfId="1" applyFont="1" applyFill="1" applyBorder="1" applyAlignment="1">
      <alignment horizontal="center" vertical="center"/>
    </xf>
    <xf numFmtId="41" fontId="0" fillId="0" borderId="6" xfId="1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41" fontId="0" fillId="0" borderId="3" xfId="1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41" fontId="0" fillId="0" borderId="4" xfId="1" applyFont="1" applyBorder="1" applyAlignment="1">
      <alignment horizontal="center" vertical="center"/>
    </xf>
    <xf numFmtId="41" fontId="9" fillId="3" borderId="14" xfId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76" fontId="9" fillId="3" borderId="22" xfId="1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41" fontId="7" fillId="3" borderId="12" xfId="1" applyFont="1" applyFill="1" applyBorder="1" applyAlignment="1">
      <alignment horizontal="center" vertical="center"/>
    </xf>
    <xf numFmtId="41" fontId="7" fillId="3" borderId="17" xfId="1" applyFont="1" applyFill="1" applyBorder="1" applyAlignment="1">
      <alignment horizontal="center" vertical="center"/>
    </xf>
    <xf numFmtId="41" fontId="7" fillId="3" borderId="19" xfId="1" applyFont="1" applyFill="1" applyBorder="1" applyAlignment="1">
      <alignment vertical="center"/>
    </xf>
    <xf numFmtId="41" fontId="7" fillId="3" borderId="17" xfId="1" applyFont="1" applyFill="1" applyBorder="1" applyAlignment="1">
      <alignment vertical="center"/>
    </xf>
    <xf numFmtId="41" fontId="4" fillId="3" borderId="1" xfId="1" applyFont="1" applyFill="1" applyBorder="1" applyAlignment="1">
      <alignment horizontal="center" vertical="center"/>
    </xf>
    <xf numFmtId="41" fontId="3" fillId="0" borderId="5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9" fillId="3" borderId="20" xfId="0" applyFont="1" applyFill="1" applyBorder="1" applyAlignment="1">
      <alignment horizontal="center" vertical="center"/>
    </xf>
    <xf numFmtId="0" fontId="9" fillId="3" borderId="21" xfId="0" applyFont="1" applyFill="1" applyBorder="1" applyAlignment="1">
      <alignment horizontal="center" vertical="center"/>
    </xf>
    <xf numFmtId="0" fontId="9" fillId="3" borderId="23" xfId="0" applyFont="1" applyFill="1" applyBorder="1" applyAlignment="1">
      <alignment horizontal="center" vertical="center"/>
    </xf>
    <xf numFmtId="0" fontId="9" fillId="3" borderId="13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FFCC00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3D8F0-FAE8-4A31-B15E-887AF3A466A0}">
  <sheetPr codeName="Sheet2"/>
  <dimension ref="A1:H8"/>
  <sheetViews>
    <sheetView showGridLines="0" zoomScale="70" zoomScaleNormal="70" workbookViewId="0">
      <selection activeCell="C20" sqref="C20"/>
    </sheetView>
  </sheetViews>
  <sheetFormatPr defaultRowHeight="16.5" x14ac:dyDescent="0.3"/>
  <cols>
    <col min="1" max="1" width="8.375" customWidth="1"/>
    <col min="2" max="8" width="14.625" style="1" customWidth="1"/>
  </cols>
  <sheetData>
    <row r="1" spans="1:8" ht="17.25" x14ac:dyDescent="0.3">
      <c r="A1" s="8"/>
      <c r="B1" s="11"/>
      <c r="C1" s="11"/>
      <c r="D1" s="11"/>
      <c r="E1" s="11"/>
      <c r="F1" s="12"/>
      <c r="G1" s="11"/>
      <c r="H1" s="11"/>
    </row>
    <row r="2" spans="1:8" ht="18" thickBot="1" x14ac:dyDescent="0.35">
      <c r="A2" s="8"/>
      <c r="B2" s="11"/>
      <c r="C2" s="11"/>
      <c r="D2" s="11"/>
      <c r="E2" s="11"/>
      <c r="F2" s="12"/>
      <c r="G2" s="11"/>
      <c r="H2" s="11"/>
    </row>
    <row r="3" spans="1:8" ht="18" thickBot="1" x14ac:dyDescent="0.35">
      <c r="A3" s="8"/>
      <c r="B3" s="42" t="s">
        <v>20</v>
      </c>
      <c r="C3" s="43"/>
      <c r="D3" s="43"/>
      <c r="E3" s="43"/>
      <c r="F3" s="43"/>
      <c r="G3" s="43"/>
      <c r="H3" s="44"/>
    </row>
    <row r="4" spans="1:8" ht="17.25" x14ac:dyDescent="0.3">
      <c r="A4" s="8"/>
      <c r="B4" s="9" t="s">
        <v>10</v>
      </c>
      <c r="C4" s="10" t="s">
        <v>11</v>
      </c>
      <c r="D4" s="10" t="s">
        <v>18</v>
      </c>
      <c r="E4" s="13" t="s">
        <v>15</v>
      </c>
      <c r="F4" s="10" t="s">
        <v>16</v>
      </c>
      <c r="G4" s="10" t="s">
        <v>17</v>
      </c>
      <c r="H4" s="15" t="s">
        <v>44</v>
      </c>
    </row>
    <row r="5" spans="1:8" ht="17.25" x14ac:dyDescent="0.3">
      <c r="A5" s="8"/>
      <c r="B5" s="50" t="s">
        <v>47</v>
      </c>
      <c r="C5" s="16" t="s">
        <v>49</v>
      </c>
      <c r="D5" s="49" t="e">
        <f>E5+E6+E7</f>
        <v>#REF!</v>
      </c>
      <c r="E5" s="17" t="e">
        <f>F5-G5</f>
        <v>#REF!</v>
      </c>
      <c r="F5" s="18" t="e">
        <f>COUNTIFS(#REF!,"양품",#REF!,"V5.2")</f>
        <v>#REF!</v>
      </c>
      <c r="G5" s="19" t="e">
        <f>COUNTIFS(#REF!,"양품",#REF!,"&lt;&gt;",#REF!,"V5.2")</f>
        <v>#REF!</v>
      </c>
      <c r="H5" s="20"/>
    </row>
    <row r="6" spans="1:8" ht="17.25" x14ac:dyDescent="0.3">
      <c r="A6" s="8"/>
      <c r="B6" s="50"/>
      <c r="C6" s="16" t="s">
        <v>41</v>
      </c>
      <c r="D6" s="49"/>
      <c r="E6" s="17" t="e">
        <f t="shared" ref="E6:E7" si="0">F6-G6</f>
        <v>#REF!</v>
      </c>
      <c r="F6" s="18" t="e">
        <f>COUNTIFS(#REF!,"NCR",#REF!,"V5.2")</f>
        <v>#REF!</v>
      </c>
      <c r="G6" s="19" t="e">
        <f>COUNTIFS(#REF!,"NCR",#REF!,"&lt;&gt;",#REF!,"V5.2")</f>
        <v>#REF!</v>
      </c>
      <c r="H6" s="20"/>
    </row>
    <row r="7" spans="1:8" ht="17.25" x14ac:dyDescent="0.3">
      <c r="A7" s="8"/>
      <c r="B7" s="50"/>
      <c r="C7" s="16" t="s">
        <v>50</v>
      </c>
      <c r="D7" s="49"/>
      <c r="E7" s="17" t="e">
        <f t="shared" si="0"/>
        <v>#REF!</v>
      </c>
      <c r="F7" s="18" t="e">
        <f>COUNTIFS(#REF!,"NG",#REF!,"V5.2")</f>
        <v>#REF!</v>
      </c>
      <c r="G7" s="19" t="e">
        <f>COUNTIFS(#REF!,"NG",#REF!,"&lt;&gt;",#REF!,"V5.2")</f>
        <v>#REF!</v>
      </c>
      <c r="H7" s="20"/>
    </row>
    <row r="8" spans="1:8" ht="18" thickBot="1" x14ac:dyDescent="0.35">
      <c r="B8" s="45" t="s">
        <v>43</v>
      </c>
      <c r="C8" s="46"/>
      <c r="D8" s="47" t="e">
        <f>SUM(D5:D7)</f>
        <v>#REF!</v>
      </c>
      <c r="E8" s="48"/>
      <c r="F8" s="21" t="e">
        <f>SUM(F5:F7)</f>
        <v>#REF!</v>
      </c>
      <c r="G8" s="21" t="e">
        <f>SUM(G5:G7)</f>
        <v>#REF!</v>
      </c>
      <c r="H8" s="22"/>
    </row>
  </sheetData>
  <mergeCells count="5">
    <mergeCell ref="B3:H3"/>
    <mergeCell ref="B8:C8"/>
    <mergeCell ref="D8:E8"/>
    <mergeCell ref="D5:D7"/>
    <mergeCell ref="B5:B7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5B4AC-D346-47DB-A7F7-111853194625}">
  <sheetPr codeName="Sheet7"/>
  <dimension ref="B1:AD27"/>
  <sheetViews>
    <sheetView tabSelected="1" zoomScale="80" zoomScaleNormal="80" workbookViewId="0">
      <selection activeCell="J27" sqref="J27"/>
    </sheetView>
  </sheetViews>
  <sheetFormatPr defaultRowHeight="16.5" x14ac:dyDescent="0.3"/>
  <cols>
    <col min="2" max="2" width="17.25" style="1" customWidth="1"/>
    <col min="3" max="3" width="15.5" style="1" customWidth="1"/>
    <col min="4" max="4" width="41.25" style="1" bestFit="1" customWidth="1"/>
    <col min="5" max="5" width="10.625" style="1" customWidth="1"/>
    <col min="6" max="6" width="15.625" style="1" customWidth="1"/>
    <col min="7" max="7" width="2" style="1" customWidth="1"/>
    <col min="8" max="8" width="9" style="1"/>
    <col min="9" max="9" width="16" style="1" customWidth="1"/>
    <col min="10" max="10" width="9" style="1"/>
    <col min="11" max="11" width="2" style="1" customWidth="1"/>
    <col min="12" max="12" width="9" style="1"/>
    <col min="13" max="13" width="16" style="1" customWidth="1"/>
    <col min="14" max="14" width="9" style="1"/>
    <col min="15" max="15" width="2" style="1" customWidth="1"/>
    <col min="16" max="16" width="9" style="1"/>
    <col min="17" max="17" width="16" style="1" customWidth="1"/>
    <col min="18" max="18" width="9" style="1"/>
    <col min="19" max="19" width="2" style="1" customWidth="1"/>
    <col min="20" max="20" width="9" style="1"/>
    <col min="21" max="21" width="16" style="1" customWidth="1"/>
    <col min="22" max="22" width="9" style="1"/>
    <col min="23" max="23" width="2" customWidth="1"/>
    <col min="25" max="25" width="16.375" bestFit="1" customWidth="1"/>
    <col min="27" max="27" width="2" customWidth="1"/>
    <col min="29" max="29" width="16.375" bestFit="1" customWidth="1"/>
  </cols>
  <sheetData>
    <row r="1" spans="2:30" ht="17.25" thickBot="1" x14ac:dyDescent="0.35">
      <c r="H1" s="35"/>
    </row>
    <row r="2" spans="2:30" ht="18" thickBot="1" x14ac:dyDescent="0.35">
      <c r="B2" s="61" t="s">
        <v>39</v>
      </c>
      <c r="C2" s="62"/>
      <c r="D2" s="62"/>
      <c r="E2" s="62"/>
      <c r="F2" s="63"/>
      <c r="H2" s="35" t="s">
        <v>42</v>
      </c>
      <c r="I2" s="33"/>
      <c r="J2" s="33"/>
      <c r="K2" s="33"/>
      <c r="L2" s="35" t="s">
        <v>46</v>
      </c>
      <c r="M2" s="33"/>
      <c r="N2" s="33"/>
      <c r="O2" s="33"/>
      <c r="P2" s="35" t="s">
        <v>45</v>
      </c>
      <c r="Q2" s="33"/>
      <c r="R2" s="33"/>
      <c r="S2" s="33"/>
      <c r="T2" s="35" t="s">
        <v>60</v>
      </c>
      <c r="U2" s="33"/>
      <c r="X2" s="35" t="s">
        <v>65</v>
      </c>
      <c r="Y2" s="1"/>
      <c r="Z2" s="1"/>
      <c r="AA2" s="1"/>
      <c r="AB2" s="35" t="s">
        <v>63</v>
      </c>
      <c r="AC2" s="1"/>
      <c r="AD2" s="1"/>
    </row>
    <row r="3" spans="2:30" x14ac:dyDescent="0.3">
      <c r="B3" s="64" t="s">
        <v>23</v>
      </c>
      <c r="C3" s="66" t="s">
        <v>22</v>
      </c>
      <c r="D3" s="66" t="s">
        <v>40</v>
      </c>
      <c r="E3" s="68" t="s">
        <v>38</v>
      </c>
      <c r="F3" s="31"/>
      <c r="H3" s="33" t="s">
        <v>107</v>
      </c>
      <c r="I3" s="39"/>
      <c r="L3" s="33" t="s">
        <v>107</v>
      </c>
      <c r="P3" s="33" t="s">
        <v>107</v>
      </c>
      <c r="T3" s="33" t="s">
        <v>113</v>
      </c>
      <c r="X3" s="33" t="s">
        <v>107</v>
      </c>
      <c r="Y3" s="1"/>
      <c r="Z3" s="1"/>
      <c r="AB3" s="33" t="s">
        <v>107</v>
      </c>
      <c r="AC3" s="1"/>
      <c r="AD3" s="1"/>
    </row>
    <row r="4" spans="2:30" ht="17.25" thickBot="1" x14ac:dyDescent="0.35">
      <c r="B4" s="65"/>
      <c r="C4" s="67"/>
      <c r="D4" s="67"/>
      <c r="E4" s="69"/>
      <c r="F4" s="32"/>
      <c r="H4" s="36" t="s">
        <v>54</v>
      </c>
      <c r="I4" s="36" t="s">
        <v>55</v>
      </c>
      <c r="J4" s="36" t="s">
        <v>19</v>
      </c>
      <c r="L4" s="36" t="s">
        <v>54</v>
      </c>
      <c r="M4" s="36" t="s">
        <v>55</v>
      </c>
      <c r="N4" s="36" t="s">
        <v>19</v>
      </c>
      <c r="P4" s="36" t="s">
        <v>54</v>
      </c>
      <c r="Q4" s="36" t="s">
        <v>55</v>
      </c>
      <c r="R4" s="36" t="s">
        <v>19</v>
      </c>
      <c r="T4" s="36" t="s">
        <v>54</v>
      </c>
      <c r="U4" s="36" t="s">
        <v>61</v>
      </c>
      <c r="V4" s="36" t="s">
        <v>19</v>
      </c>
      <c r="X4" s="36" t="s">
        <v>54</v>
      </c>
      <c r="Y4" s="36" t="s">
        <v>55</v>
      </c>
      <c r="Z4" s="36" t="s">
        <v>19</v>
      </c>
      <c r="AB4" s="36" t="s">
        <v>54</v>
      </c>
      <c r="AC4" s="36" t="s">
        <v>55</v>
      </c>
      <c r="AD4" s="36" t="s">
        <v>19</v>
      </c>
    </row>
    <row r="5" spans="2:30" x14ac:dyDescent="0.3">
      <c r="B5" s="54" t="s">
        <v>30</v>
      </c>
      <c r="C5" s="25" t="s">
        <v>24</v>
      </c>
      <c r="D5" s="25" t="s">
        <v>72</v>
      </c>
      <c r="E5" s="26" t="s">
        <v>33</v>
      </c>
      <c r="F5" s="27" t="e" cm="1">
        <f t="array" ref="F5">SUMPRODUCT((#REF!="V5.2")*(LEFT(#REF!,6)='NCR 세부 수량 파악'!E5))</f>
        <v>#REF!</v>
      </c>
      <c r="H5" s="2" t="s">
        <v>94</v>
      </c>
      <c r="I5" s="2" t="s">
        <v>52</v>
      </c>
      <c r="J5" s="2">
        <v>12</v>
      </c>
      <c r="L5" s="2" t="s">
        <v>94</v>
      </c>
      <c r="M5" s="2" t="s">
        <v>52</v>
      </c>
      <c r="N5" s="2">
        <v>24</v>
      </c>
      <c r="P5" s="2" t="s">
        <v>94</v>
      </c>
      <c r="Q5" s="2" t="s">
        <v>52</v>
      </c>
      <c r="R5" s="2">
        <v>17</v>
      </c>
      <c r="T5" s="2" t="s">
        <v>94</v>
      </c>
      <c r="U5" s="2" t="s">
        <v>103</v>
      </c>
      <c r="V5" s="2">
        <v>11</v>
      </c>
      <c r="X5" s="2" t="s">
        <v>94</v>
      </c>
      <c r="Y5" s="2" t="s">
        <v>52</v>
      </c>
      <c r="Z5" s="2">
        <v>6</v>
      </c>
      <c r="AB5" s="2" t="s">
        <v>94</v>
      </c>
      <c r="AC5" s="2" t="s">
        <v>52</v>
      </c>
      <c r="AD5" s="2">
        <v>12</v>
      </c>
    </row>
    <row r="6" spans="2:30" x14ac:dyDescent="0.3">
      <c r="B6" s="55"/>
      <c r="C6" s="2" t="s">
        <v>25</v>
      </c>
      <c r="D6" s="2" t="s">
        <v>73</v>
      </c>
      <c r="E6" s="14" t="s">
        <v>34</v>
      </c>
      <c r="F6" s="23" t="e" cm="1">
        <f t="array" ref="F6">SUMPRODUCT((#REF!="V5.2")*(LEFT(#REF!,6)='NCR 세부 수량 파악'!E6))</f>
        <v>#REF!</v>
      </c>
      <c r="H6" s="2" t="s">
        <v>95</v>
      </c>
      <c r="I6" s="2" t="s">
        <v>51</v>
      </c>
      <c r="J6" s="2">
        <v>2</v>
      </c>
      <c r="L6" s="2" t="s">
        <v>95</v>
      </c>
      <c r="M6" s="2" t="s">
        <v>51</v>
      </c>
      <c r="N6" s="2">
        <v>124</v>
      </c>
      <c r="P6" s="2" t="s">
        <v>95</v>
      </c>
      <c r="Q6" s="2" t="s">
        <v>51</v>
      </c>
      <c r="R6" s="2">
        <v>0</v>
      </c>
      <c r="T6" s="2" t="s">
        <v>95</v>
      </c>
      <c r="U6" s="2" t="s">
        <v>104</v>
      </c>
      <c r="V6" s="2">
        <v>0</v>
      </c>
      <c r="X6" s="2" t="s">
        <v>95</v>
      </c>
      <c r="Y6" s="2" t="s">
        <v>51</v>
      </c>
      <c r="Z6" s="2">
        <v>0</v>
      </c>
      <c r="AB6" s="2" t="s">
        <v>95</v>
      </c>
      <c r="AC6" s="2" t="s">
        <v>51</v>
      </c>
      <c r="AD6" s="2">
        <v>0</v>
      </c>
    </row>
    <row r="7" spans="2:30" x14ac:dyDescent="0.3">
      <c r="B7" s="55"/>
      <c r="C7" s="2" t="s">
        <v>26</v>
      </c>
      <c r="D7" s="2" t="s">
        <v>106</v>
      </c>
      <c r="E7" s="14" t="s">
        <v>112</v>
      </c>
      <c r="F7" s="23" t="e" cm="1">
        <f t="array" ref="F7">SUMPRODUCT((#REF!="V5.2")*(LEFT(#REF!,6)='NCR 세부 수량 파악'!E7))</f>
        <v>#REF!</v>
      </c>
      <c r="H7" s="2" t="s">
        <v>96</v>
      </c>
      <c r="I7" s="2" t="s">
        <v>53</v>
      </c>
      <c r="J7" s="2">
        <v>0</v>
      </c>
      <c r="L7" s="2" t="s">
        <v>96</v>
      </c>
      <c r="M7" s="2" t="s">
        <v>53</v>
      </c>
      <c r="N7" s="2">
        <v>96</v>
      </c>
      <c r="P7" s="2" t="s">
        <v>96</v>
      </c>
      <c r="Q7" s="2" t="s">
        <v>53</v>
      </c>
      <c r="R7" s="2">
        <v>0</v>
      </c>
      <c r="T7" s="2" t="s">
        <v>96</v>
      </c>
      <c r="U7" s="2" t="s">
        <v>105</v>
      </c>
      <c r="V7" s="2">
        <v>0</v>
      </c>
      <c r="X7" s="2" t="s">
        <v>96</v>
      </c>
      <c r="Y7" s="2" t="s">
        <v>53</v>
      </c>
      <c r="Z7" s="2">
        <v>0</v>
      </c>
      <c r="AB7" s="2" t="s">
        <v>96</v>
      </c>
      <c r="AC7" s="2" t="s">
        <v>53</v>
      </c>
      <c r="AD7" s="2">
        <v>0</v>
      </c>
    </row>
    <row r="8" spans="2:30" x14ac:dyDescent="0.3">
      <c r="B8" s="55"/>
      <c r="C8" s="2" t="s">
        <v>27</v>
      </c>
      <c r="D8" s="2" t="s">
        <v>74</v>
      </c>
      <c r="E8" s="14" t="s">
        <v>35</v>
      </c>
      <c r="F8" s="23" t="e" cm="1">
        <f t="array" ref="F8">SUMPRODUCT((#REF!="V5.2")*(LEFT(#REF!,6)='NCR 세부 수량 파악'!E8))</f>
        <v>#REF!</v>
      </c>
      <c r="H8" s="52" t="s">
        <v>56</v>
      </c>
      <c r="I8" s="53"/>
      <c r="J8" s="37">
        <f>SUM(J5:J7)</f>
        <v>14</v>
      </c>
      <c r="K8" s="34"/>
      <c r="L8" s="52" t="s">
        <v>56</v>
      </c>
      <c r="M8" s="53"/>
      <c r="N8" s="37">
        <f>SUM(N5:N7)</f>
        <v>244</v>
      </c>
      <c r="O8" s="34"/>
      <c r="P8" s="52" t="s">
        <v>56</v>
      </c>
      <c r="Q8" s="53"/>
      <c r="R8" s="37">
        <f>SUM(R5:R7)</f>
        <v>17</v>
      </c>
      <c r="S8" s="34"/>
      <c r="T8" s="52" t="s">
        <v>56</v>
      </c>
      <c r="U8" s="53"/>
      <c r="V8" s="37">
        <f>SUM(V5:V7)</f>
        <v>11</v>
      </c>
      <c r="X8" s="52" t="s">
        <v>56</v>
      </c>
      <c r="Y8" s="53"/>
      <c r="Z8" s="37">
        <f>SUM(Z5:Z7)</f>
        <v>6</v>
      </c>
      <c r="AB8" s="52" t="s">
        <v>56</v>
      </c>
      <c r="AC8" s="53"/>
      <c r="AD8" s="37">
        <f>SUM(AD5:AD7)</f>
        <v>12</v>
      </c>
    </row>
    <row r="9" spans="2:30" x14ac:dyDescent="0.3">
      <c r="B9" s="55"/>
      <c r="C9" s="2" t="s">
        <v>28</v>
      </c>
      <c r="D9" s="2" t="s">
        <v>75</v>
      </c>
      <c r="E9" s="14" t="s">
        <v>36</v>
      </c>
      <c r="F9" s="23" t="e" cm="1">
        <f t="array" ref="F9">SUMPRODUCT((#REF!="V5.2")*(LEFT(#REF!,6)='NCR 세부 수량 파악'!E9))</f>
        <v>#REF!</v>
      </c>
    </row>
    <row r="10" spans="2:30" x14ac:dyDescent="0.3">
      <c r="B10" s="55"/>
      <c r="C10" s="2" t="s">
        <v>29</v>
      </c>
      <c r="D10" s="2" t="s">
        <v>76</v>
      </c>
      <c r="E10" s="14" t="s">
        <v>37</v>
      </c>
      <c r="F10" s="23" t="e" cm="1">
        <f t="array" ref="F10">SUMPRODUCT((#REF!="V5.2")*(LEFT(#REF!,6)='NCR 세부 수량 파악'!E10))</f>
        <v>#REF!</v>
      </c>
      <c r="H10" s="33" t="s">
        <v>57</v>
      </c>
      <c r="L10" s="33" t="s">
        <v>57</v>
      </c>
      <c r="P10" s="33" t="s">
        <v>101</v>
      </c>
      <c r="X10" s="33" t="s">
        <v>108</v>
      </c>
      <c r="Y10" s="1"/>
      <c r="Z10" s="1"/>
      <c r="AB10" s="33" t="s">
        <v>100</v>
      </c>
      <c r="AC10" s="1"/>
      <c r="AD10" s="1"/>
    </row>
    <row r="11" spans="2:30" x14ac:dyDescent="0.3">
      <c r="B11" s="55"/>
      <c r="C11" s="2" t="s">
        <v>31</v>
      </c>
      <c r="D11" s="2" t="s">
        <v>77</v>
      </c>
      <c r="E11" s="14" t="s">
        <v>66</v>
      </c>
      <c r="F11" s="23" t="e" cm="1">
        <f t="array" ref="F11">SUMPRODUCT((#REF!="V5.2")*(LEFT(#REF!,6)='NCR 세부 수량 파악'!E11))</f>
        <v>#REF!</v>
      </c>
      <c r="H11" s="36" t="s">
        <v>54</v>
      </c>
      <c r="I11" s="36" t="s">
        <v>61</v>
      </c>
      <c r="J11" s="36" t="s">
        <v>19</v>
      </c>
      <c r="L11" s="36" t="s">
        <v>54</v>
      </c>
      <c r="M11" s="36" t="s">
        <v>61</v>
      </c>
      <c r="N11" s="36" t="s">
        <v>19</v>
      </c>
      <c r="P11" s="36" t="s">
        <v>54</v>
      </c>
      <c r="Q11" s="36" t="s">
        <v>62</v>
      </c>
      <c r="R11" s="36" t="s">
        <v>19</v>
      </c>
      <c r="X11" s="36" t="s">
        <v>54</v>
      </c>
      <c r="Y11" s="36" t="s">
        <v>61</v>
      </c>
      <c r="Z11" s="36" t="s">
        <v>19</v>
      </c>
      <c r="AB11" s="36" t="s">
        <v>54</v>
      </c>
      <c r="AC11" s="36" t="s">
        <v>62</v>
      </c>
      <c r="AD11" s="36" t="s">
        <v>19</v>
      </c>
    </row>
    <row r="12" spans="2:30" ht="17.25" thickBot="1" x14ac:dyDescent="0.35">
      <c r="B12" s="56"/>
      <c r="C12" s="24" t="s">
        <v>68</v>
      </c>
      <c r="D12" s="24" t="s">
        <v>78</v>
      </c>
      <c r="E12" s="28" t="s">
        <v>67</v>
      </c>
      <c r="F12" s="29" t="e" cm="1">
        <f t="array" ref="F12">SUMPRODUCT((#REF!="V5.2")*(LEFT(#REF!,6)='NCR 세부 수량 파악'!E12))</f>
        <v>#REF!</v>
      </c>
      <c r="H12" s="2" t="s">
        <v>94</v>
      </c>
      <c r="I12" s="2" t="s">
        <v>103</v>
      </c>
      <c r="J12" s="2">
        <v>26</v>
      </c>
      <c r="L12" s="2" t="s">
        <v>94</v>
      </c>
      <c r="M12" s="2" t="s">
        <v>103</v>
      </c>
      <c r="N12" s="2">
        <v>102</v>
      </c>
      <c r="P12" s="2" t="s">
        <v>95</v>
      </c>
      <c r="Q12" s="2" t="s">
        <v>58</v>
      </c>
      <c r="R12" s="2">
        <v>112</v>
      </c>
      <c r="X12" s="2" t="s">
        <v>94</v>
      </c>
      <c r="Y12" s="2" t="s">
        <v>109</v>
      </c>
      <c r="Z12" s="2">
        <v>2</v>
      </c>
      <c r="AB12" s="2" t="s">
        <v>94</v>
      </c>
      <c r="AC12" s="2" t="s">
        <v>98</v>
      </c>
      <c r="AD12" s="2">
        <v>52</v>
      </c>
    </row>
    <row r="13" spans="2:30" x14ac:dyDescent="0.3">
      <c r="B13" s="54" t="s">
        <v>32</v>
      </c>
      <c r="C13" s="25" t="s">
        <v>24</v>
      </c>
      <c r="D13" s="25" t="s">
        <v>79</v>
      </c>
      <c r="E13" s="26" t="s">
        <v>90</v>
      </c>
      <c r="F13" s="27" t="e" cm="1">
        <f t="array" ref="F13">SUMPRODUCT((#REF!="V5.2")*(LEFT(#REF!,6)='NCR 세부 수량 파악'!E13))</f>
        <v>#REF!</v>
      </c>
      <c r="H13" s="2" t="s">
        <v>95</v>
      </c>
      <c r="I13" s="2" t="s">
        <v>104</v>
      </c>
      <c r="J13" s="2">
        <v>0</v>
      </c>
      <c r="L13" s="2" t="s">
        <v>95</v>
      </c>
      <c r="M13" s="2" t="s">
        <v>104</v>
      </c>
      <c r="N13" s="2">
        <v>7</v>
      </c>
      <c r="P13" s="2" t="s">
        <v>96</v>
      </c>
      <c r="Q13" s="2" t="s">
        <v>59</v>
      </c>
      <c r="R13" s="2">
        <v>237</v>
      </c>
      <c r="X13" s="2" t="s">
        <v>95</v>
      </c>
      <c r="Y13" s="2" t="s">
        <v>110</v>
      </c>
      <c r="Z13" s="2">
        <v>0</v>
      </c>
      <c r="AB13" s="2" t="s">
        <v>95</v>
      </c>
      <c r="AC13" s="2" t="s">
        <v>98</v>
      </c>
      <c r="AD13" s="2">
        <v>4</v>
      </c>
    </row>
    <row r="14" spans="2:30" x14ac:dyDescent="0.3">
      <c r="B14" s="55"/>
      <c r="C14" s="2" t="s">
        <v>25</v>
      </c>
      <c r="D14" s="2" t="s">
        <v>80</v>
      </c>
      <c r="E14" s="14" t="s">
        <v>25</v>
      </c>
      <c r="F14" s="23" t="e" cm="1">
        <f t="array" ref="F14">SUMPRODUCT((#REF!="V5.2")*(LEFT(#REF!,6)='NCR 세부 수량 파악'!E14))</f>
        <v>#REF!</v>
      </c>
      <c r="H14" s="2" t="s">
        <v>96</v>
      </c>
      <c r="I14" s="2" t="s">
        <v>105</v>
      </c>
      <c r="J14" s="2">
        <v>0</v>
      </c>
      <c r="L14" s="2" t="s">
        <v>96</v>
      </c>
      <c r="M14" s="2" t="s">
        <v>105</v>
      </c>
      <c r="N14" s="2">
        <v>0</v>
      </c>
      <c r="P14" s="2"/>
      <c r="Q14" s="2"/>
      <c r="R14" s="2"/>
      <c r="X14" s="2" t="s">
        <v>96</v>
      </c>
      <c r="Y14" s="2" t="s">
        <v>111</v>
      </c>
      <c r="Z14" s="2">
        <v>0</v>
      </c>
      <c r="AB14" s="2" t="s">
        <v>96</v>
      </c>
      <c r="AC14" s="38" t="s">
        <v>97</v>
      </c>
      <c r="AD14" s="2">
        <v>24</v>
      </c>
    </row>
    <row r="15" spans="2:30" x14ac:dyDescent="0.3">
      <c r="B15" s="55"/>
      <c r="C15" s="2" t="s">
        <v>26</v>
      </c>
      <c r="D15" s="2" t="s">
        <v>81</v>
      </c>
      <c r="E15" s="14" t="s">
        <v>26</v>
      </c>
      <c r="F15" s="23" t="e" cm="1">
        <f t="array" ref="F15">SUMPRODUCT((#REF!="V5.2")*(LEFT(#REF!,6)='NCR 세부 수량 파악'!E15))</f>
        <v>#REF!</v>
      </c>
      <c r="H15" s="52" t="s">
        <v>56</v>
      </c>
      <c r="I15" s="53"/>
      <c r="J15" s="37">
        <f>SUM(J12:J14)</f>
        <v>26</v>
      </c>
      <c r="K15" s="34"/>
      <c r="L15" s="52" t="s">
        <v>56</v>
      </c>
      <c r="M15" s="53"/>
      <c r="N15" s="37">
        <f>SUM(N12:N14)</f>
        <v>109</v>
      </c>
      <c r="O15" s="34"/>
      <c r="P15" s="52" t="s">
        <v>56</v>
      </c>
      <c r="Q15" s="53"/>
      <c r="R15" s="37">
        <f>SUM(R12:R14)</f>
        <v>349</v>
      </c>
      <c r="S15" s="34"/>
      <c r="X15" s="52" t="s">
        <v>56</v>
      </c>
      <c r="Y15" s="53"/>
      <c r="Z15" s="37">
        <f>SUM(Z12:Z14)</f>
        <v>2</v>
      </c>
      <c r="AB15" s="51" t="s">
        <v>56</v>
      </c>
      <c r="AC15" s="51"/>
      <c r="AD15" s="37">
        <f>AD12+AD13+AD14</f>
        <v>80</v>
      </c>
    </row>
    <row r="16" spans="2:30" x14ac:dyDescent="0.3">
      <c r="B16" s="55"/>
      <c r="C16" s="2" t="s">
        <v>27</v>
      </c>
      <c r="D16" s="2" t="s">
        <v>82</v>
      </c>
      <c r="E16" s="14" t="s">
        <v>27</v>
      </c>
      <c r="F16" s="23" t="e" cm="1">
        <f t="array" ref="F16">SUMPRODUCT((#REF!="V5.2")*(LEFT(#REF!,6)='NCR 세부 수량 파악'!E16))</f>
        <v>#REF!</v>
      </c>
    </row>
    <row r="17" spans="2:30" x14ac:dyDescent="0.3">
      <c r="B17" s="55"/>
      <c r="C17" s="2" t="s">
        <v>28</v>
      </c>
      <c r="D17" s="2" t="s">
        <v>83</v>
      </c>
      <c r="E17" s="14" t="s">
        <v>28</v>
      </c>
      <c r="F17" s="23" t="e" cm="1">
        <f t="array" ref="F17">SUMPRODUCT((#REF!="V5.2")*(LEFT(#REF!,6)='NCR 세부 수량 파악'!E17))</f>
        <v>#REF!</v>
      </c>
      <c r="H17" s="33"/>
      <c r="L17" s="33"/>
      <c r="P17" s="33" t="s">
        <v>102</v>
      </c>
      <c r="X17" s="33" t="s">
        <v>99</v>
      </c>
      <c r="Y17" s="1"/>
      <c r="Z17" s="1"/>
      <c r="AA17" s="1"/>
      <c r="AB17" s="33"/>
      <c r="AC17" s="1"/>
      <c r="AD17" s="1"/>
    </row>
    <row r="18" spans="2:30" x14ac:dyDescent="0.3">
      <c r="B18" s="55"/>
      <c r="C18" s="2" t="s">
        <v>29</v>
      </c>
      <c r="D18" s="40" t="s">
        <v>84</v>
      </c>
      <c r="E18" s="14" t="s">
        <v>29</v>
      </c>
      <c r="F18" s="23" t="e" cm="1">
        <f t="array" ref="F18">SUMPRODUCT((#REF!="V5.2")*(LEFT(#REF!,6)='NCR 세부 수량 파악'!E18))</f>
        <v>#REF!</v>
      </c>
      <c r="P18" s="36" t="s">
        <v>54</v>
      </c>
      <c r="Q18" s="36" t="s">
        <v>61</v>
      </c>
      <c r="R18" s="36" t="s">
        <v>19</v>
      </c>
      <c r="X18" s="36" t="s">
        <v>54</v>
      </c>
      <c r="Y18" s="36" t="s">
        <v>62</v>
      </c>
      <c r="Z18" s="36" t="s">
        <v>19</v>
      </c>
      <c r="AA18" s="1"/>
      <c r="AB18" s="1"/>
      <c r="AC18" s="1"/>
      <c r="AD18" s="1"/>
    </row>
    <row r="19" spans="2:30" x14ac:dyDescent="0.3">
      <c r="B19" s="55"/>
      <c r="C19" s="2" t="s">
        <v>31</v>
      </c>
      <c r="D19" s="2" t="s">
        <v>85</v>
      </c>
      <c r="E19" s="14" t="s">
        <v>31</v>
      </c>
      <c r="F19" s="23" t="e" cm="1">
        <f t="array" ref="F19">SUMPRODUCT((#REF!="V5.2")*(LEFT(#REF!,6)='NCR 세부 수량 파악'!E19))</f>
        <v>#REF!</v>
      </c>
      <c r="P19" s="2" t="s">
        <v>94</v>
      </c>
      <c r="Q19" s="2" t="s">
        <v>103</v>
      </c>
      <c r="R19" s="2">
        <v>2</v>
      </c>
      <c r="X19" s="2" t="s">
        <v>94</v>
      </c>
      <c r="Y19" s="2" t="s">
        <v>98</v>
      </c>
      <c r="Z19" s="2">
        <v>11</v>
      </c>
      <c r="AA19" s="1"/>
      <c r="AB19" s="1"/>
      <c r="AC19" s="1"/>
      <c r="AD19" s="1"/>
    </row>
    <row r="20" spans="2:30" x14ac:dyDescent="0.3">
      <c r="B20" s="55"/>
      <c r="C20" s="2" t="s">
        <v>68</v>
      </c>
      <c r="D20" s="2" t="s">
        <v>86</v>
      </c>
      <c r="E20" s="14" t="s">
        <v>68</v>
      </c>
      <c r="F20" s="23" t="e" cm="1">
        <f t="array" ref="F20">SUMPRODUCT((#REF!="V5.2")*(LEFT(#REF!,6)='NCR 세부 수량 파악'!E20))</f>
        <v>#REF!</v>
      </c>
      <c r="P20" s="2" t="s">
        <v>95</v>
      </c>
      <c r="Q20" s="2" t="s">
        <v>104</v>
      </c>
      <c r="R20" s="2">
        <v>0</v>
      </c>
      <c r="X20" s="2" t="s">
        <v>95</v>
      </c>
      <c r="Y20" s="2" t="s">
        <v>98</v>
      </c>
      <c r="Z20" s="2">
        <v>0</v>
      </c>
      <c r="AA20" s="1"/>
      <c r="AB20" s="1"/>
      <c r="AC20" s="1"/>
      <c r="AD20" s="1"/>
    </row>
    <row r="21" spans="2:30" x14ac:dyDescent="0.3">
      <c r="B21" s="55"/>
      <c r="C21" s="2" t="s">
        <v>69</v>
      </c>
      <c r="D21" s="2" t="s">
        <v>87</v>
      </c>
      <c r="E21" s="14" t="s">
        <v>69</v>
      </c>
      <c r="F21" s="23" t="e" cm="1">
        <f t="array" ref="F21">SUMPRODUCT((#REF!="V5.2")*(LEFT(#REF!,6)='NCR 세부 수량 파악'!E21))</f>
        <v>#REF!</v>
      </c>
      <c r="P21" s="2" t="s">
        <v>96</v>
      </c>
      <c r="Q21" s="2" t="s">
        <v>105</v>
      </c>
      <c r="R21" s="2">
        <v>0</v>
      </c>
      <c r="X21" s="2" t="s">
        <v>96</v>
      </c>
      <c r="Y21" s="38" t="s">
        <v>97</v>
      </c>
      <c r="Z21" s="2">
        <v>0</v>
      </c>
      <c r="AA21" s="1"/>
      <c r="AB21" s="1"/>
      <c r="AC21" s="1"/>
      <c r="AD21" s="1"/>
    </row>
    <row r="22" spans="2:30" x14ac:dyDescent="0.3">
      <c r="B22" s="55"/>
      <c r="C22" s="2" t="s">
        <v>70</v>
      </c>
      <c r="D22" s="2" t="s">
        <v>88</v>
      </c>
      <c r="E22" s="14" t="s">
        <v>70</v>
      </c>
      <c r="F22" s="23" t="e" cm="1">
        <f t="array" ref="F22">SUMPRODUCT((#REF!="V5.2")*(LEFT(#REF!,6)='NCR 세부 수량 파악'!E22))</f>
        <v>#REF!</v>
      </c>
      <c r="P22" s="52" t="s">
        <v>56</v>
      </c>
      <c r="Q22" s="53"/>
      <c r="R22" s="37">
        <f>SUM(R19:R21)</f>
        <v>2</v>
      </c>
      <c r="X22" s="51" t="s">
        <v>56</v>
      </c>
      <c r="Y22" s="51"/>
      <c r="Z22" s="37">
        <f>Z19+Z20+Z21</f>
        <v>11</v>
      </c>
      <c r="AA22" s="1"/>
      <c r="AB22" s="1"/>
      <c r="AC22" s="1"/>
      <c r="AD22" s="1"/>
    </row>
    <row r="23" spans="2:30" ht="17.25" thickBot="1" x14ac:dyDescent="0.35">
      <c r="B23" s="55"/>
      <c r="C23" s="24" t="s">
        <v>71</v>
      </c>
      <c r="D23" s="24" t="s">
        <v>89</v>
      </c>
      <c r="E23" s="28" t="s">
        <v>71</v>
      </c>
      <c r="F23" s="29" t="e" cm="1">
        <f t="array" ref="F23">SUMPRODUCT((#REF!="V5.2")*(LEFT(#REF!,6)='NCR 세부 수량 파악'!E23))</f>
        <v>#REF!</v>
      </c>
      <c r="AB23" s="1"/>
      <c r="AC23" s="1"/>
      <c r="AD23" s="1"/>
    </row>
    <row r="24" spans="2:30" x14ac:dyDescent="0.3">
      <c r="B24" s="55"/>
      <c r="C24" s="2" t="s">
        <v>44</v>
      </c>
      <c r="D24" s="2" t="s">
        <v>64</v>
      </c>
      <c r="E24" s="14" t="s">
        <v>91</v>
      </c>
      <c r="F24" s="23" t="e" cm="1">
        <f t="array" ref="F24">SUMPRODUCT((#REF!="V5.2")*(LEFT(#REF!,6)='NCR 세부 수량 파악'!E24))</f>
        <v>#REF!</v>
      </c>
      <c r="AB24" s="1"/>
      <c r="AC24" s="1"/>
      <c r="AD24" s="1"/>
    </row>
    <row r="25" spans="2:30" ht="17.25" thickBot="1" x14ac:dyDescent="0.35">
      <c r="B25" s="56"/>
      <c r="C25" s="2" t="s">
        <v>44</v>
      </c>
      <c r="D25" s="2" t="s">
        <v>93</v>
      </c>
      <c r="E25" s="14" t="s">
        <v>92</v>
      </c>
      <c r="F25" s="23" t="e" cm="1">
        <f t="array" ref="F25">SUMPRODUCT((#REF!="V5.2")*(LEFT(#REF!,6)='NCR 세부 수량 파악'!E25))</f>
        <v>#REF!</v>
      </c>
      <c r="AB25" s="1"/>
      <c r="AC25" s="1"/>
      <c r="AD25" s="1"/>
    </row>
    <row r="26" spans="2:30" ht="17.25" thickBot="1" x14ac:dyDescent="0.35">
      <c r="B26" s="59" t="s">
        <v>18</v>
      </c>
      <c r="C26" s="60"/>
      <c r="D26" s="60"/>
      <c r="E26" s="60"/>
      <c r="F26" s="30" t="e">
        <f>SUM(F5:F25)</f>
        <v>#REF!</v>
      </c>
    </row>
    <row r="27" spans="2:30" ht="17.25" thickBot="1" x14ac:dyDescent="0.35">
      <c r="B27" s="57" t="s">
        <v>48</v>
      </c>
      <c r="C27" s="58"/>
      <c r="D27" s="58"/>
      <c r="E27" s="58"/>
      <c r="F27" s="41" t="e">
        <f>SUM(F26:F26)</f>
        <v>#REF!</v>
      </c>
    </row>
  </sheetData>
  <mergeCells count="22">
    <mergeCell ref="B2:F2"/>
    <mergeCell ref="B3:B4"/>
    <mergeCell ref="C3:C4"/>
    <mergeCell ref="D3:D4"/>
    <mergeCell ref="E3:E4"/>
    <mergeCell ref="B27:E27"/>
    <mergeCell ref="P15:Q15"/>
    <mergeCell ref="B13:B25"/>
    <mergeCell ref="B26:E26"/>
    <mergeCell ref="H15:I15"/>
    <mergeCell ref="L15:M15"/>
    <mergeCell ref="P22:Q22"/>
    <mergeCell ref="X22:Y22"/>
    <mergeCell ref="AB15:AC15"/>
    <mergeCell ref="X8:Y8"/>
    <mergeCell ref="AB8:AC8"/>
    <mergeCell ref="B5:B12"/>
    <mergeCell ref="P8:Q8"/>
    <mergeCell ref="L8:M8"/>
    <mergeCell ref="H8:I8"/>
    <mergeCell ref="X15:Y15"/>
    <mergeCell ref="T8:U8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51B66-415C-42D7-8130-CA6B5EB0EFBC}">
  <sheetPr codeName="Sheet5"/>
  <dimension ref="B2:U11"/>
  <sheetViews>
    <sheetView zoomScale="80" zoomScaleNormal="80" workbookViewId="0">
      <pane ySplit="2" topLeftCell="A3" activePane="bottomLeft" state="frozen"/>
      <selection pane="bottomLeft" activeCell="K4" sqref="K4"/>
    </sheetView>
  </sheetViews>
  <sheetFormatPr defaultRowHeight="16.5" x14ac:dyDescent="0.3"/>
  <cols>
    <col min="2" max="2" width="9" style="2"/>
    <col min="3" max="3" width="15.625" style="2" customWidth="1"/>
    <col min="4" max="5" width="18.875" style="2" customWidth="1"/>
    <col min="6" max="7" width="17.875" style="2" customWidth="1"/>
    <col min="8" max="8" width="16" style="2" customWidth="1"/>
    <col min="9" max="9" width="11.625" style="3" customWidth="1"/>
    <col min="10" max="10" width="11.625" style="6" customWidth="1"/>
    <col min="11" max="11" width="11.625" style="3" customWidth="1"/>
    <col min="12" max="12" width="11.625" style="6" customWidth="1"/>
    <col min="13" max="14" width="11.625" style="2" customWidth="1"/>
    <col min="15" max="15" width="35.5" style="2" customWidth="1"/>
    <col min="16" max="16" width="13.25" style="2" customWidth="1"/>
    <col min="17" max="17" width="11.625" style="2" customWidth="1"/>
    <col min="18" max="20" width="11.625" style="1" customWidth="1"/>
    <col min="21" max="21" width="9" style="1"/>
  </cols>
  <sheetData>
    <row r="2" spans="2:17" ht="33" customHeight="1" x14ac:dyDescent="0.3">
      <c r="B2" s="4" t="s">
        <v>9</v>
      </c>
      <c r="C2" s="4" t="s">
        <v>0</v>
      </c>
      <c r="D2" s="4" t="s">
        <v>1</v>
      </c>
      <c r="E2" s="4" t="s">
        <v>12</v>
      </c>
      <c r="F2" s="4" t="s">
        <v>3</v>
      </c>
      <c r="G2" s="4" t="s">
        <v>11</v>
      </c>
      <c r="H2" s="4" t="s">
        <v>21</v>
      </c>
      <c r="I2" s="7" t="s">
        <v>4</v>
      </c>
      <c r="J2" s="5" t="s">
        <v>5</v>
      </c>
      <c r="K2" s="7" t="s">
        <v>2</v>
      </c>
      <c r="L2" s="5" t="s">
        <v>114</v>
      </c>
      <c r="M2" s="4" t="s">
        <v>8</v>
      </c>
      <c r="N2" s="4" t="s">
        <v>7</v>
      </c>
      <c r="O2" s="4" t="s">
        <v>6</v>
      </c>
      <c r="P2" s="4" t="s">
        <v>13</v>
      </c>
      <c r="Q2" s="4" t="s">
        <v>14</v>
      </c>
    </row>
    <row r="3" spans="2:17" x14ac:dyDescent="0.3">
      <c r="Q3" s="3"/>
    </row>
    <row r="4" spans="2:17" x14ac:dyDescent="0.3">
      <c r="Q4" s="3"/>
    </row>
    <row r="5" spans="2:17" x14ac:dyDescent="0.3">
      <c r="Q5" s="3"/>
    </row>
    <row r="7" spans="2:17" x14ac:dyDescent="0.3">
      <c r="Q7" s="3"/>
    </row>
    <row r="10" spans="2:17" x14ac:dyDescent="0.3">
      <c r="Q10" s="3"/>
    </row>
    <row r="11" spans="2:17" x14ac:dyDescent="0.3">
      <c r="Q11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셀 입출고 확인</vt:lpstr>
      <vt:lpstr>NCR 세부 수량 파악</vt:lpstr>
      <vt:lpstr>프로젝트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박호언</dc:creator>
  <cp:lastModifiedBy>사용자</cp:lastModifiedBy>
  <dcterms:created xsi:type="dcterms:W3CDTF">2025-02-19T00:45:01Z</dcterms:created>
  <dcterms:modified xsi:type="dcterms:W3CDTF">2026-01-16T08:38:48Z</dcterms:modified>
</cp:coreProperties>
</file>