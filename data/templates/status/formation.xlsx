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status\"/>
    </mc:Choice>
  </mc:AlternateContent>
  <xr:revisionPtr revIDLastSave="0" documentId="13_ncr:1_{D2B4F486-D404-4B1B-8DEA-EBEAC19C3DA1}" xr6:coauthVersionLast="47" xr6:coauthVersionMax="47" xr10:uidLastSave="{00000000-0000-0000-0000-000000000000}"/>
  <bookViews>
    <workbookView xWindow="1065" yWindow="120" windowWidth="25575" windowHeight="15210" xr2:uid="{E25BFB65-D502-4278-AB85-8965F34E216B}"/>
  </bookViews>
  <sheets>
    <sheet name="조립 공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6" i="1" l="1"/>
  <c r="AK26" i="1"/>
  <c r="AC25" i="1"/>
  <c r="AD25" i="1"/>
  <c r="AE25" i="1"/>
  <c r="AF25" i="1"/>
  <c r="AG25" i="1"/>
  <c r="AH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K14" i="1"/>
  <c r="AI24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I15" i="1"/>
  <c r="AI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I12" i="1"/>
  <c r="AI11" i="1"/>
  <c r="AK11" i="1" s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I9" i="1"/>
  <c r="AI8" i="1"/>
  <c r="AK8" i="1" s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I6" i="1"/>
  <c r="AI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AI3" i="1"/>
  <c r="AI2" i="1"/>
  <c r="AI13" i="1" l="1"/>
  <c r="AI4" i="1"/>
  <c r="AI7" i="1"/>
  <c r="AI10" i="1"/>
  <c r="AI16" i="1"/>
  <c r="AK5" i="1"/>
  <c r="AK2" i="1"/>
  <c r="AI23" i="1"/>
  <c r="AK23" i="1" s="1"/>
  <c r="AI22" i="1"/>
  <c r="AI21" i="1"/>
  <c r="AI20" i="1"/>
  <c r="AI17" i="1"/>
  <c r="AI18" i="1"/>
  <c r="AI25" i="1" l="1"/>
  <c r="AK17" i="1"/>
  <c r="AI19" i="1"/>
  <c r="AK20" i="1"/>
</calcChain>
</file>

<file path=xl/sharedStrings.xml><?xml version="1.0" encoding="utf-8"?>
<sst xmlns="http://schemas.openxmlformats.org/spreadsheetml/2006/main" count="39" uniqueCount="22">
  <si>
    <t>제조일자</t>
    <phoneticPr fontId="4" type="noConversion"/>
  </si>
  <si>
    <t>합계</t>
    <phoneticPr fontId="4" type="noConversion"/>
  </si>
  <si>
    <t>진행률</t>
    <phoneticPr fontId="4" type="noConversion"/>
  </si>
  <si>
    <t>목표수량</t>
    <phoneticPr fontId="4" type="noConversion"/>
  </si>
  <si>
    <t>NG</t>
    <phoneticPr fontId="4" type="noConversion"/>
  </si>
  <si>
    <t>수율(%)</t>
    <phoneticPr fontId="4" type="noConversion"/>
  </si>
  <si>
    <t>전체합계</t>
    <phoneticPr fontId="4" type="noConversion"/>
  </si>
  <si>
    <t>-</t>
    <phoneticPr fontId="4" type="noConversion"/>
  </si>
  <si>
    <t>생산량(ea)</t>
  </si>
  <si>
    <t>NCR</t>
    <phoneticPr fontId="4" type="noConversion"/>
  </si>
  <si>
    <t>외관</t>
    <phoneticPr fontId="4" type="noConversion"/>
  </si>
  <si>
    <t>가스</t>
    <phoneticPr fontId="4" type="noConversion"/>
  </si>
  <si>
    <t>긁힘</t>
    <phoneticPr fontId="4" type="noConversion"/>
  </si>
  <si>
    <t>찍힘</t>
    <phoneticPr fontId="4" type="noConversion"/>
  </si>
  <si>
    <t>누액, 부식</t>
    <phoneticPr fontId="4" type="noConversion"/>
  </si>
  <si>
    <t>크기</t>
    <phoneticPr fontId="4" type="noConversion"/>
  </si>
  <si>
    <t>외관검사</t>
    <phoneticPr fontId="4" type="noConversion"/>
  </si>
  <si>
    <t>Pre
Formation</t>
    <phoneticPr fontId="4" type="noConversion"/>
  </si>
  <si>
    <t>dagas</t>
    <phoneticPr fontId="4" type="noConversion"/>
  </si>
  <si>
    <t>Main
Formaiton</t>
    <phoneticPr fontId="4" type="noConversion"/>
  </si>
  <si>
    <t>Aging
OCV/IR_2</t>
    <phoneticPr fontId="4" type="noConversion"/>
  </si>
  <si>
    <t>Aging
OCV/IR_3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</si>
</sst>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9" fontId="2" fillId="2" borderId="2" xfId="0" applyNumberFormat="1" applyFont="1" applyFill="1" applyBorder="1">
      <alignment vertical="center"/>
    </xf>
    <xf numFmtId="9" fontId="0" fillId="5" borderId="2" xfId="0" applyNumberFormat="1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76" fontId="7" fillId="0" borderId="2" xfId="0" applyNumberFormat="1" applyFont="1" applyBorder="1">
      <alignment vertical="center"/>
    </xf>
    <xf numFmtId="176" fontId="7" fillId="0" borderId="2" xfId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6" fontId="6" fillId="0" borderId="2" xfId="0" applyNumberFormat="1" applyFont="1" applyBorder="1">
      <alignment vertical="center"/>
    </xf>
    <xf numFmtId="176" fontId="6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6" fontId="7" fillId="0" borderId="1" xfId="1" applyNumberFormat="1" applyFont="1" applyFill="1" applyBorder="1" applyAlignment="1">
      <alignment horizontal="center" vertical="center"/>
    </xf>
    <xf numFmtId="176" fontId="7" fillId="0" borderId="4" xfId="1" applyNumberFormat="1" applyFont="1" applyFill="1" applyBorder="1" applyAlignment="1">
      <alignment horizontal="center" vertical="center"/>
    </xf>
    <xf numFmtId="176" fontId="7" fillId="0" borderId="5" xfId="1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9" fontId="5" fillId="2" borderId="4" xfId="0" applyNumberFormat="1" applyFont="1" applyFill="1" applyBorder="1" applyAlignment="1">
      <alignment horizontal="center" vertical="center"/>
    </xf>
    <xf numFmtId="9" fontId="5" fillId="2" borderId="5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F4FE-7083-4A74-91FA-43A59943F702}">
  <dimension ref="A1:AL26"/>
  <sheetViews>
    <sheetView showGridLines="0" tabSelected="1" zoomScale="85" zoomScaleNormal="85" workbookViewId="0">
      <selection activeCell="U13" sqref="U13"/>
    </sheetView>
  </sheetViews>
  <sheetFormatPr defaultRowHeight="16.5" x14ac:dyDescent="0.3"/>
  <cols>
    <col min="1" max="1" width="9.25" bestFit="1" customWidth="1"/>
    <col min="2" max="2" width="10.375" bestFit="1" customWidth="1"/>
    <col min="3" max="3" width="10" bestFit="1" customWidth="1"/>
    <col min="4" max="34" width="5.625" customWidth="1"/>
    <col min="35" max="35" width="8.875" style="1" bestFit="1" customWidth="1"/>
    <col min="36" max="36" width="9.25" style="1" bestFit="1" customWidth="1"/>
    <col min="37" max="37" width="8.875" bestFit="1" customWidth="1"/>
    <col min="38" max="38" width="9.25" bestFit="1" customWidth="1"/>
  </cols>
  <sheetData>
    <row r="1" spans="1:38" x14ac:dyDescent="0.3">
      <c r="A1" s="34" t="s">
        <v>0</v>
      </c>
      <c r="B1" s="35"/>
      <c r="C1" s="36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3" t="s">
        <v>1</v>
      </c>
      <c r="AJ1" s="3" t="s">
        <v>6</v>
      </c>
      <c r="AK1" s="3" t="s">
        <v>2</v>
      </c>
      <c r="AL1" s="3" t="s">
        <v>3</v>
      </c>
    </row>
    <row r="2" spans="1:38" ht="16.5" customHeight="1" x14ac:dyDescent="0.3">
      <c r="A2" s="22" t="s">
        <v>17</v>
      </c>
      <c r="B2" s="24" t="s">
        <v>8</v>
      </c>
      <c r="C2" s="24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>
        <f t="shared" ref="AI2:AI3" si="0">SUM(D2:AH2)</f>
        <v>0</v>
      </c>
      <c r="AJ2" s="25"/>
      <c r="AK2" s="28" t="str">
        <f t="shared" ref="AK2" si="1">IFERROR(AI2/AL2,"")</f>
        <v/>
      </c>
      <c r="AL2" s="25"/>
    </row>
    <row r="3" spans="1:38" x14ac:dyDescent="0.3">
      <c r="A3" s="23"/>
      <c r="B3" s="29" t="s">
        <v>4</v>
      </c>
      <c r="C3" s="29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>
        <f t="shared" si="0"/>
        <v>0</v>
      </c>
      <c r="AJ3" s="26"/>
      <c r="AK3" s="28"/>
      <c r="AL3" s="26"/>
    </row>
    <row r="4" spans="1:38" x14ac:dyDescent="0.3">
      <c r="A4" s="23"/>
      <c r="B4" s="30" t="s">
        <v>5</v>
      </c>
      <c r="C4" s="30"/>
      <c r="D4" s="4" t="str">
        <f>IFERROR(D2/(D2+D3),"")</f>
        <v/>
      </c>
      <c r="E4" s="4" t="str">
        <f t="shared" ref="E4:AI4" si="2">IFERROR(E2/(E2+E3),"")</f>
        <v/>
      </c>
      <c r="F4" s="4" t="str">
        <f t="shared" si="2"/>
        <v/>
      </c>
      <c r="G4" s="4" t="str">
        <f t="shared" si="2"/>
        <v/>
      </c>
      <c r="H4" s="4" t="str">
        <f t="shared" si="2"/>
        <v/>
      </c>
      <c r="I4" s="4" t="str">
        <f t="shared" si="2"/>
        <v/>
      </c>
      <c r="J4" s="4" t="str">
        <f t="shared" si="2"/>
        <v/>
      </c>
      <c r="K4" s="4" t="str">
        <f t="shared" si="2"/>
        <v/>
      </c>
      <c r="L4" s="4" t="str">
        <f t="shared" si="2"/>
        <v/>
      </c>
      <c r="M4" s="4" t="str">
        <f t="shared" si="2"/>
        <v/>
      </c>
      <c r="N4" s="4" t="str">
        <f t="shared" si="2"/>
        <v/>
      </c>
      <c r="O4" s="4" t="str">
        <f t="shared" si="2"/>
        <v/>
      </c>
      <c r="P4" s="4" t="str">
        <f t="shared" si="2"/>
        <v/>
      </c>
      <c r="Q4" s="4" t="str">
        <f t="shared" si="2"/>
        <v/>
      </c>
      <c r="R4" s="4" t="str">
        <f t="shared" si="2"/>
        <v/>
      </c>
      <c r="S4" s="4" t="str">
        <f t="shared" si="2"/>
        <v/>
      </c>
      <c r="T4" s="4" t="str">
        <f t="shared" si="2"/>
        <v/>
      </c>
      <c r="U4" s="4" t="str">
        <f t="shared" si="2"/>
        <v/>
      </c>
      <c r="V4" s="4" t="str">
        <f t="shared" si="2"/>
        <v/>
      </c>
      <c r="W4" s="4" t="str">
        <f t="shared" si="2"/>
        <v/>
      </c>
      <c r="X4" s="4" t="str">
        <f t="shared" si="2"/>
        <v/>
      </c>
      <c r="Y4" s="4" t="str">
        <f t="shared" si="2"/>
        <v/>
      </c>
      <c r="Z4" s="4" t="str">
        <f t="shared" si="2"/>
        <v/>
      </c>
      <c r="AA4" s="4" t="str">
        <f t="shared" si="2"/>
        <v/>
      </c>
      <c r="AB4" s="4" t="str">
        <f t="shared" si="2"/>
        <v/>
      </c>
      <c r="AC4" s="4" t="str">
        <f t="shared" si="2"/>
        <v/>
      </c>
      <c r="AD4" s="4" t="str">
        <f t="shared" si="2"/>
        <v/>
      </c>
      <c r="AE4" s="4" t="str">
        <f t="shared" si="2"/>
        <v/>
      </c>
      <c r="AF4" s="4" t="str">
        <f t="shared" si="2"/>
        <v/>
      </c>
      <c r="AG4" s="4" t="str">
        <f t="shared" si="2"/>
        <v/>
      </c>
      <c r="AH4" s="4" t="str">
        <f t="shared" si="2"/>
        <v/>
      </c>
      <c r="AI4" s="4" t="str">
        <f t="shared" si="2"/>
        <v/>
      </c>
      <c r="AJ4" s="27"/>
      <c r="AK4" s="28"/>
      <c r="AL4" s="27"/>
    </row>
    <row r="5" spans="1:38" x14ac:dyDescent="0.3">
      <c r="A5" s="22" t="s">
        <v>18</v>
      </c>
      <c r="B5" s="24" t="s">
        <v>8</v>
      </c>
      <c r="C5" s="24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8">
        <f t="shared" ref="AI5:AI6" si="3">SUM(D5:AH5)</f>
        <v>0</v>
      </c>
      <c r="AJ5" s="25"/>
      <c r="AK5" s="28" t="str">
        <f t="shared" ref="AK5" si="4">IFERROR(AI5/AL5,"")</f>
        <v/>
      </c>
      <c r="AL5" s="25"/>
    </row>
    <row r="6" spans="1:38" x14ac:dyDescent="0.3">
      <c r="A6" s="23"/>
      <c r="B6" s="29" t="s">
        <v>4</v>
      </c>
      <c r="C6" s="29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8">
        <f t="shared" si="3"/>
        <v>0</v>
      </c>
      <c r="AJ6" s="26"/>
      <c r="AK6" s="28"/>
      <c r="AL6" s="26"/>
    </row>
    <row r="7" spans="1:38" x14ac:dyDescent="0.3">
      <c r="A7" s="23"/>
      <c r="B7" s="30" t="s">
        <v>5</v>
      </c>
      <c r="C7" s="30"/>
      <c r="D7" s="4" t="str">
        <f>IFERROR(D5/(D5+D6),"")</f>
        <v/>
      </c>
      <c r="E7" s="4" t="str">
        <f t="shared" ref="E7:AI7" si="5">IFERROR(E5/(E5+E6),"")</f>
        <v/>
      </c>
      <c r="F7" s="4" t="str">
        <f t="shared" si="5"/>
        <v/>
      </c>
      <c r="G7" s="4" t="str">
        <f t="shared" si="5"/>
        <v/>
      </c>
      <c r="H7" s="4" t="str">
        <f t="shared" si="5"/>
        <v/>
      </c>
      <c r="I7" s="4" t="str">
        <f t="shared" si="5"/>
        <v/>
      </c>
      <c r="J7" s="4" t="str">
        <f t="shared" si="5"/>
        <v/>
      </c>
      <c r="K7" s="4" t="str">
        <f t="shared" si="5"/>
        <v/>
      </c>
      <c r="L7" s="4" t="str">
        <f t="shared" si="5"/>
        <v/>
      </c>
      <c r="M7" s="4" t="str">
        <f t="shared" si="5"/>
        <v/>
      </c>
      <c r="N7" s="4" t="str">
        <f t="shared" si="5"/>
        <v/>
      </c>
      <c r="O7" s="4" t="str">
        <f t="shared" si="5"/>
        <v/>
      </c>
      <c r="P7" s="4" t="str">
        <f t="shared" si="5"/>
        <v/>
      </c>
      <c r="Q7" s="4" t="str">
        <f t="shared" si="5"/>
        <v/>
      </c>
      <c r="R7" s="4" t="str">
        <f t="shared" si="5"/>
        <v/>
      </c>
      <c r="S7" s="4" t="str">
        <f t="shared" si="5"/>
        <v/>
      </c>
      <c r="T7" s="4" t="str">
        <f t="shared" si="5"/>
        <v/>
      </c>
      <c r="U7" s="4" t="str">
        <f t="shared" si="5"/>
        <v/>
      </c>
      <c r="V7" s="4" t="str">
        <f t="shared" si="5"/>
        <v/>
      </c>
      <c r="W7" s="4" t="str">
        <f t="shared" si="5"/>
        <v/>
      </c>
      <c r="X7" s="4" t="str">
        <f t="shared" si="5"/>
        <v/>
      </c>
      <c r="Y7" s="4" t="str">
        <f t="shared" si="5"/>
        <v/>
      </c>
      <c r="Z7" s="4" t="str">
        <f t="shared" si="5"/>
        <v/>
      </c>
      <c r="AA7" s="4" t="str">
        <f t="shared" si="5"/>
        <v/>
      </c>
      <c r="AB7" s="4" t="str">
        <f t="shared" si="5"/>
        <v/>
      </c>
      <c r="AC7" s="4" t="str">
        <f t="shared" si="5"/>
        <v/>
      </c>
      <c r="AD7" s="4" t="str">
        <f t="shared" si="5"/>
        <v/>
      </c>
      <c r="AE7" s="4" t="str">
        <f t="shared" si="5"/>
        <v/>
      </c>
      <c r="AF7" s="4" t="str">
        <f t="shared" si="5"/>
        <v/>
      </c>
      <c r="AG7" s="4" t="str">
        <f t="shared" si="5"/>
        <v/>
      </c>
      <c r="AH7" s="4" t="str">
        <f t="shared" si="5"/>
        <v/>
      </c>
      <c r="AI7" s="4" t="str">
        <f t="shared" si="5"/>
        <v/>
      </c>
      <c r="AJ7" s="27"/>
      <c r="AK7" s="28"/>
      <c r="AL7" s="27"/>
    </row>
    <row r="8" spans="1:38" x14ac:dyDescent="0.3">
      <c r="A8" s="22" t="s">
        <v>19</v>
      </c>
      <c r="B8" s="24" t="s">
        <v>8</v>
      </c>
      <c r="C8" s="24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8">
        <f t="shared" ref="AI8:AI9" si="6">SUM(D8:AH8)</f>
        <v>0</v>
      </c>
      <c r="AJ8" s="25"/>
      <c r="AK8" s="28" t="str">
        <f t="shared" ref="AK8" si="7">IFERROR(AI8/AL8,"")</f>
        <v/>
      </c>
      <c r="AL8" s="25"/>
    </row>
    <row r="9" spans="1:38" x14ac:dyDescent="0.3">
      <c r="A9" s="23"/>
      <c r="B9" s="29" t="s">
        <v>4</v>
      </c>
      <c r="C9" s="2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8">
        <f t="shared" si="6"/>
        <v>0</v>
      </c>
      <c r="AJ9" s="26"/>
      <c r="AK9" s="28"/>
      <c r="AL9" s="26"/>
    </row>
    <row r="10" spans="1:38" x14ac:dyDescent="0.3">
      <c r="A10" s="23"/>
      <c r="B10" s="30" t="s">
        <v>5</v>
      </c>
      <c r="C10" s="30"/>
      <c r="D10" s="4" t="str">
        <f>IFERROR(D8/(D8+D9),"")</f>
        <v/>
      </c>
      <c r="E10" s="4" t="str">
        <f t="shared" ref="E10:AI10" si="8">IFERROR(E8/(E8+E9),"")</f>
        <v/>
      </c>
      <c r="F10" s="4" t="str">
        <f t="shared" si="8"/>
        <v/>
      </c>
      <c r="G10" s="4" t="str">
        <f t="shared" si="8"/>
        <v/>
      </c>
      <c r="H10" s="4" t="str">
        <f t="shared" si="8"/>
        <v/>
      </c>
      <c r="I10" s="4" t="str">
        <f t="shared" si="8"/>
        <v/>
      </c>
      <c r="J10" s="4" t="str">
        <f t="shared" si="8"/>
        <v/>
      </c>
      <c r="K10" s="4" t="str">
        <f t="shared" si="8"/>
        <v/>
      </c>
      <c r="L10" s="4" t="str">
        <f t="shared" si="8"/>
        <v/>
      </c>
      <c r="M10" s="4" t="str">
        <f t="shared" si="8"/>
        <v/>
      </c>
      <c r="N10" s="4" t="str">
        <f t="shared" si="8"/>
        <v/>
      </c>
      <c r="O10" s="4" t="str">
        <f t="shared" si="8"/>
        <v/>
      </c>
      <c r="P10" s="4" t="str">
        <f t="shared" si="8"/>
        <v/>
      </c>
      <c r="Q10" s="4" t="str">
        <f t="shared" si="8"/>
        <v/>
      </c>
      <c r="R10" s="4" t="str">
        <f t="shared" si="8"/>
        <v/>
      </c>
      <c r="S10" s="4" t="str">
        <f t="shared" si="8"/>
        <v/>
      </c>
      <c r="T10" s="4" t="str">
        <f t="shared" si="8"/>
        <v/>
      </c>
      <c r="U10" s="4" t="str">
        <f t="shared" si="8"/>
        <v/>
      </c>
      <c r="V10" s="4" t="str">
        <f t="shared" si="8"/>
        <v/>
      </c>
      <c r="W10" s="4" t="str">
        <f t="shared" si="8"/>
        <v/>
      </c>
      <c r="X10" s="4" t="str">
        <f t="shared" si="8"/>
        <v/>
      </c>
      <c r="Y10" s="4" t="str">
        <f t="shared" si="8"/>
        <v/>
      </c>
      <c r="Z10" s="4" t="str">
        <f t="shared" si="8"/>
        <v/>
      </c>
      <c r="AA10" s="4" t="str">
        <f t="shared" si="8"/>
        <v/>
      </c>
      <c r="AB10" s="4" t="str">
        <f t="shared" si="8"/>
        <v/>
      </c>
      <c r="AC10" s="4" t="str">
        <f t="shared" si="8"/>
        <v/>
      </c>
      <c r="AD10" s="4" t="str">
        <f t="shared" si="8"/>
        <v/>
      </c>
      <c r="AE10" s="4" t="str">
        <f t="shared" si="8"/>
        <v/>
      </c>
      <c r="AF10" s="4" t="str">
        <f t="shared" si="8"/>
        <v/>
      </c>
      <c r="AG10" s="4" t="str">
        <f t="shared" si="8"/>
        <v/>
      </c>
      <c r="AH10" s="4" t="str">
        <f t="shared" si="8"/>
        <v/>
      </c>
      <c r="AI10" s="4" t="str">
        <f t="shared" si="8"/>
        <v/>
      </c>
      <c r="AJ10" s="27"/>
      <c r="AK10" s="28"/>
      <c r="AL10" s="27"/>
    </row>
    <row r="11" spans="1:38" x14ac:dyDescent="0.3">
      <c r="A11" s="22" t="s">
        <v>20</v>
      </c>
      <c r="B11" s="24" t="s">
        <v>8</v>
      </c>
      <c r="C11" s="24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8">
        <f t="shared" ref="AI11:AI12" si="9">SUM(D11:AH11)</f>
        <v>0</v>
      </c>
      <c r="AJ11" s="25"/>
      <c r="AK11" s="28" t="str">
        <f t="shared" ref="AK11" si="10">IFERROR(AI11/AL11,"")</f>
        <v/>
      </c>
      <c r="AL11" s="25"/>
    </row>
    <row r="12" spans="1:38" x14ac:dyDescent="0.3">
      <c r="A12" s="23"/>
      <c r="B12" s="29" t="s">
        <v>4</v>
      </c>
      <c r="C12" s="2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8">
        <f t="shared" si="9"/>
        <v>0</v>
      </c>
      <c r="AJ12" s="26"/>
      <c r="AK12" s="28"/>
      <c r="AL12" s="26"/>
    </row>
    <row r="13" spans="1:38" x14ac:dyDescent="0.3">
      <c r="A13" s="23"/>
      <c r="B13" s="30" t="s">
        <v>5</v>
      </c>
      <c r="C13" s="30"/>
      <c r="D13" s="4" t="str">
        <f>IFERROR(D11/(D11+D12),"")</f>
        <v/>
      </c>
      <c r="E13" s="4" t="str">
        <f t="shared" ref="E13:AI13" si="11">IFERROR(E11/(E11+E12),"")</f>
        <v/>
      </c>
      <c r="F13" s="4" t="str">
        <f t="shared" si="11"/>
        <v/>
      </c>
      <c r="G13" s="4" t="str">
        <f t="shared" si="11"/>
        <v/>
      </c>
      <c r="H13" s="4" t="str">
        <f t="shared" si="11"/>
        <v/>
      </c>
      <c r="I13" s="4" t="str">
        <f t="shared" si="11"/>
        <v/>
      </c>
      <c r="J13" s="4" t="str">
        <f t="shared" si="11"/>
        <v/>
      </c>
      <c r="K13" s="4" t="str">
        <f t="shared" si="11"/>
        <v/>
      </c>
      <c r="L13" s="4" t="str">
        <f t="shared" si="11"/>
        <v/>
      </c>
      <c r="M13" s="4" t="str">
        <f t="shared" si="11"/>
        <v/>
      </c>
      <c r="N13" s="4" t="str">
        <f t="shared" si="11"/>
        <v/>
      </c>
      <c r="O13" s="4" t="str">
        <f t="shared" si="11"/>
        <v/>
      </c>
      <c r="P13" s="4" t="str">
        <f t="shared" si="11"/>
        <v/>
      </c>
      <c r="Q13" s="4" t="str">
        <f t="shared" si="11"/>
        <v/>
      </c>
      <c r="R13" s="4" t="str">
        <f t="shared" si="11"/>
        <v/>
      </c>
      <c r="S13" s="4" t="str">
        <f t="shared" si="11"/>
        <v/>
      </c>
      <c r="T13" s="4" t="str">
        <f t="shared" si="11"/>
        <v/>
      </c>
      <c r="U13" s="4" t="str">
        <f t="shared" si="11"/>
        <v/>
      </c>
      <c r="V13" s="4" t="str">
        <f t="shared" si="11"/>
        <v/>
      </c>
      <c r="W13" s="4" t="str">
        <f t="shared" si="11"/>
        <v/>
      </c>
      <c r="X13" s="4" t="str">
        <f t="shared" si="11"/>
        <v/>
      </c>
      <c r="Y13" s="4" t="str">
        <f t="shared" si="11"/>
        <v/>
      </c>
      <c r="Z13" s="4" t="str">
        <f t="shared" si="11"/>
        <v/>
      </c>
      <c r="AA13" s="4" t="str">
        <f t="shared" si="11"/>
        <v/>
      </c>
      <c r="AB13" s="4" t="str">
        <f t="shared" si="11"/>
        <v/>
      </c>
      <c r="AC13" s="4" t="str">
        <f t="shared" si="11"/>
        <v/>
      </c>
      <c r="AD13" s="4" t="str">
        <f t="shared" si="11"/>
        <v/>
      </c>
      <c r="AE13" s="4" t="str">
        <f t="shared" si="11"/>
        <v/>
      </c>
      <c r="AF13" s="4" t="str">
        <f t="shared" si="11"/>
        <v/>
      </c>
      <c r="AG13" s="4" t="str">
        <f t="shared" si="11"/>
        <v/>
      </c>
      <c r="AH13" s="4" t="str">
        <f t="shared" si="11"/>
        <v/>
      </c>
      <c r="AI13" s="4" t="str">
        <f t="shared" si="11"/>
        <v/>
      </c>
      <c r="AJ13" s="27"/>
      <c r="AK13" s="28"/>
      <c r="AL13" s="27"/>
    </row>
    <row r="14" spans="1:38" x14ac:dyDescent="0.3">
      <c r="A14" s="22" t="s">
        <v>21</v>
      </c>
      <c r="B14" s="24" t="s">
        <v>8</v>
      </c>
      <c r="C14" s="24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8">
        <f t="shared" ref="AI14:AI15" si="12">SUM(D14:AH14)</f>
        <v>0</v>
      </c>
      <c r="AJ14" s="25"/>
      <c r="AK14" s="28" t="str">
        <f>IFERROR(AI14/AL14,"")</f>
        <v/>
      </c>
      <c r="AL14" s="25"/>
    </row>
    <row r="15" spans="1:38" x14ac:dyDescent="0.3">
      <c r="A15" s="23"/>
      <c r="B15" s="29" t="s">
        <v>4</v>
      </c>
      <c r="C15" s="2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8">
        <f t="shared" si="12"/>
        <v>0</v>
      </c>
      <c r="AJ15" s="26"/>
      <c r="AK15" s="28"/>
      <c r="AL15" s="26"/>
    </row>
    <row r="16" spans="1:38" x14ac:dyDescent="0.3">
      <c r="A16" s="23"/>
      <c r="B16" s="30" t="s">
        <v>5</v>
      </c>
      <c r="C16" s="30"/>
      <c r="D16" s="4" t="str">
        <f>IFERROR(D14/(D14+D15),"")</f>
        <v/>
      </c>
      <c r="E16" s="4" t="str">
        <f t="shared" ref="E16:AI16" si="13">IFERROR(E14/(E14+E15),"")</f>
        <v/>
      </c>
      <c r="F16" s="4" t="str">
        <f t="shared" si="13"/>
        <v/>
      </c>
      <c r="G16" s="4" t="str">
        <f t="shared" si="13"/>
        <v/>
      </c>
      <c r="H16" s="4" t="str">
        <f t="shared" si="13"/>
        <v/>
      </c>
      <c r="I16" s="4" t="str">
        <f t="shared" si="13"/>
        <v/>
      </c>
      <c r="J16" s="4" t="str">
        <f t="shared" si="13"/>
        <v/>
      </c>
      <c r="K16" s="4" t="str">
        <f t="shared" si="13"/>
        <v/>
      </c>
      <c r="L16" s="4" t="str">
        <f t="shared" si="13"/>
        <v/>
      </c>
      <c r="M16" s="4" t="str">
        <f t="shared" si="13"/>
        <v/>
      </c>
      <c r="N16" s="4" t="str">
        <f t="shared" si="13"/>
        <v/>
      </c>
      <c r="O16" s="4" t="str">
        <f t="shared" si="13"/>
        <v/>
      </c>
      <c r="P16" s="4" t="str">
        <f t="shared" si="13"/>
        <v/>
      </c>
      <c r="Q16" s="4" t="str">
        <f t="shared" si="13"/>
        <v/>
      </c>
      <c r="R16" s="4" t="str">
        <f t="shared" si="13"/>
        <v/>
      </c>
      <c r="S16" s="4" t="str">
        <f t="shared" si="13"/>
        <v/>
      </c>
      <c r="T16" s="4" t="str">
        <f t="shared" si="13"/>
        <v/>
      </c>
      <c r="U16" s="4" t="str">
        <f t="shared" si="13"/>
        <v/>
      </c>
      <c r="V16" s="4" t="str">
        <f t="shared" si="13"/>
        <v/>
      </c>
      <c r="W16" s="4" t="str">
        <f t="shared" si="13"/>
        <v/>
      </c>
      <c r="X16" s="4" t="str">
        <f t="shared" si="13"/>
        <v/>
      </c>
      <c r="Y16" s="4" t="str">
        <f t="shared" si="13"/>
        <v/>
      </c>
      <c r="Z16" s="4" t="str">
        <f t="shared" si="13"/>
        <v/>
      </c>
      <c r="AA16" s="4" t="str">
        <f t="shared" si="13"/>
        <v/>
      </c>
      <c r="AB16" s="4" t="str">
        <f t="shared" si="13"/>
        <v/>
      </c>
      <c r="AC16" s="4" t="str">
        <f t="shared" si="13"/>
        <v/>
      </c>
      <c r="AD16" s="4" t="str">
        <f t="shared" si="13"/>
        <v/>
      </c>
      <c r="AE16" s="4" t="str">
        <f t="shared" si="13"/>
        <v/>
      </c>
      <c r="AF16" s="4" t="str">
        <f t="shared" si="13"/>
        <v/>
      </c>
      <c r="AG16" s="4" t="str">
        <f t="shared" si="13"/>
        <v/>
      </c>
      <c r="AH16" s="4" t="str">
        <f t="shared" si="13"/>
        <v/>
      </c>
      <c r="AI16" s="4" t="str">
        <f t="shared" si="13"/>
        <v/>
      </c>
      <c r="AJ16" s="27"/>
      <c r="AK16" s="28"/>
      <c r="AL16" s="27"/>
    </row>
    <row r="17" spans="1:38" x14ac:dyDescent="0.3">
      <c r="A17" s="14" t="s">
        <v>16</v>
      </c>
      <c r="B17" s="37" t="s">
        <v>8</v>
      </c>
      <c r="C17" s="3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8">
        <f t="shared" ref="AI17:AI24" si="14">SUM(D17:AH17)</f>
        <v>0</v>
      </c>
      <c r="AJ17" s="25"/>
      <c r="AK17" s="39" t="str">
        <f>IFERROR(AI17/AL17,"")</f>
        <v/>
      </c>
      <c r="AL17" s="25"/>
    </row>
    <row r="18" spans="1:38" x14ac:dyDescent="0.3">
      <c r="A18" s="15"/>
      <c r="B18" s="31" t="s">
        <v>4</v>
      </c>
      <c r="C18" s="33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8">
        <f t="shared" si="14"/>
        <v>0</v>
      </c>
      <c r="AJ18" s="26"/>
      <c r="AK18" s="40"/>
      <c r="AL18" s="26"/>
    </row>
    <row r="19" spans="1:38" x14ac:dyDescent="0.3">
      <c r="A19" s="15"/>
      <c r="B19" s="17" t="s">
        <v>9</v>
      </c>
      <c r="C19" s="10" t="s">
        <v>11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2"/>
      <c r="AC19" s="11"/>
      <c r="AD19" s="11"/>
      <c r="AE19" s="11"/>
      <c r="AF19" s="11"/>
      <c r="AG19" s="11"/>
      <c r="AH19" s="11"/>
      <c r="AI19" s="8">
        <f t="shared" si="14"/>
        <v>0</v>
      </c>
      <c r="AJ19" s="26"/>
      <c r="AK19" s="40"/>
      <c r="AL19" s="26"/>
    </row>
    <row r="20" spans="1:38" x14ac:dyDescent="0.3">
      <c r="A20" s="15"/>
      <c r="B20" s="18"/>
      <c r="C20" s="10" t="s">
        <v>10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8">
        <f t="shared" si="14"/>
        <v>0</v>
      </c>
      <c r="AJ20" s="26"/>
      <c r="AK20" s="40" t="str">
        <f t="shared" ref="AK20:AK23" si="15">IFERROR(AI20/AL20,"")</f>
        <v/>
      </c>
      <c r="AL20" s="26"/>
    </row>
    <row r="21" spans="1:38" x14ac:dyDescent="0.3">
      <c r="A21" s="15"/>
      <c r="B21" s="18"/>
      <c r="C21" s="9" t="s">
        <v>12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8">
        <f t="shared" si="14"/>
        <v>0</v>
      </c>
      <c r="AJ21" s="26"/>
      <c r="AK21" s="40"/>
      <c r="AL21" s="26"/>
    </row>
    <row r="22" spans="1:38" x14ac:dyDescent="0.3">
      <c r="A22" s="15"/>
      <c r="B22" s="18"/>
      <c r="C22" s="9" t="s">
        <v>13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8">
        <f t="shared" si="14"/>
        <v>0</v>
      </c>
      <c r="AJ22" s="26"/>
      <c r="AK22" s="40"/>
      <c r="AL22" s="26"/>
    </row>
    <row r="23" spans="1:38" x14ac:dyDescent="0.3">
      <c r="A23" s="15"/>
      <c r="B23" s="18"/>
      <c r="C23" s="10" t="s">
        <v>14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13"/>
      <c r="AC23" s="7"/>
      <c r="AD23" s="7"/>
      <c r="AE23" s="7"/>
      <c r="AF23" s="7"/>
      <c r="AG23" s="7"/>
      <c r="AH23" s="7"/>
      <c r="AI23" s="8">
        <f t="shared" si="14"/>
        <v>0</v>
      </c>
      <c r="AJ23" s="26"/>
      <c r="AK23" s="40" t="str">
        <f t="shared" si="15"/>
        <v/>
      </c>
      <c r="AL23" s="26"/>
    </row>
    <row r="24" spans="1:38" x14ac:dyDescent="0.3">
      <c r="A24" s="15"/>
      <c r="B24" s="19"/>
      <c r="C24" s="10" t="s">
        <v>15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>
        <f t="shared" si="14"/>
        <v>0</v>
      </c>
      <c r="AJ24" s="26"/>
      <c r="AK24" s="40"/>
      <c r="AL24" s="26"/>
    </row>
    <row r="25" spans="1:38" x14ac:dyDescent="0.3">
      <c r="A25" s="16"/>
      <c r="B25" s="20" t="s">
        <v>5</v>
      </c>
      <c r="C25" s="21"/>
      <c r="D25" s="4" t="str">
        <f t="shared" ref="D25:AH25" si="16">IFERROR(D17/(D17+D18),"")</f>
        <v/>
      </c>
      <c r="E25" s="4" t="str">
        <f t="shared" si="16"/>
        <v/>
      </c>
      <c r="F25" s="4" t="str">
        <f t="shared" si="16"/>
        <v/>
      </c>
      <c r="G25" s="4" t="str">
        <f t="shared" si="16"/>
        <v/>
      </c>
      <c r="H25" s="4" t="str">
        <f t="shared" si="16"/>
        <v/>
      </c>
      <c r="I25" s="4" t="str">
        <f t="shared" si="16"/>
        <v/>
      </c>
      <c r="J25" s="4" t="str">
        <f t="shared" si="16"/>
        <v/>
      </c>
      <c r="K25" s="4" t="str">
        <f t="shared" si="16"/>
        <v/>
      </c>
      <c r="L25" s="4" t="str">
        <f t="shared" si="16"/>
        <v/>
      </c>
      <c r="M25" s="4" t="str">
        <f t="shared" si="16"/>
        <v/>
      </c>
      <c r="N25" s="4" t="str">
        <f t="shared" si="16"/>
        <v/>
      </c>
      <c r="O25" s="4" t="str">
        <f t="shared" si="16"/>
        <v/>
      </c>
      <c r="P25" s="4" t="str">
        <f t="shared" si="16"/>
        <v/>
      </c>
      <c r="Q25" s="4" t="str">
        <f t="shared" si="16"/>
        <v/>
      </c>
      <c r="R25" s="4" t="str">
        <f t="shared" si="16"/>
        <v/>
      </c>
      <c r="S25" s="4" t="str">
        <f t="shared" si="16"/>
        <v/>
      </c>
      <c r="T25" s="4" t="str">
        <f t="shared" si="16"/>
        <v/>
      </c>
      <c r="U25" s="4" t="str">
        <f t="shared" si="16"/>
        <v/>
      </c>
      <c r="V25" s="4" t="str">
        <f t="shared" si="16"/>
        <v/>
      </c>
      <c r="W25" s="4" t="str">
        <f t="shared" si="16"/>
        <v/>
      </c>
      <c r="X25" s="4" t="str">
        <f t="shared" si="16"/>
        <v/>
      </c>
      <c r="Y25" s="4" t="str">
        <f t="shared" si="16"/>
        <v/>
      </c>
      <c r="Z25" s="4" t="str">
        <f t="shared" si="16"/>
        <v/>
      </c>
      <c r="AA25" s="4" t="str">
        <f t="shared" si="16"/>
        <v/>
      </c>
      <c r="AB25" s="4" t="str">
        <f>IFERROR(AB17/(AB17+AB18),"")</f>
        <v/>
      </c>
      <c r="AC25" s="4" t="str">
        <f t="shared" si="16"/>
        <v/>
      </c>
      <c r="AD25" s="4" t="str">
        <f t="shared" si="16"/>
        <v/>
      </c>
      <c r="AE25" s="4" t="str">
        <f t="shared" si="16"/>
        <v/>
      </c>
      <c r="AF25" s="4" t="str">
        <f t="shared" si="16"/>
        <v/>
      </c>
      <c r="AG25" s="4" t="str">
        <f t="shared" si="16"/>
        <v/>
      </c>
      <c r="AH25" s="4" t="str">
        <f t="shared" si="16"/>
        <v/>
      </c>
      <c r="AI25" s="4" t="str">
        <f>IFERROR(AI17/(AI17+AI18),"")</f>
        <v/>
      </c>
      <c r="AJ25" s="27"/>
      <c r="AK25" s="41"/>
      <c r="AL25" s="27"/>
    </row>
    <row r="26" spans="1:38" x14ac:dyDescent="0.3">
      <c r="A26" s="31" t="s">
        <v>1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3"/>
      <c r="AI26" s="5">
        <f>IFERROR(AVERAGE(AI4,AI7,AI25,AI10,AI13,AI16,),"")</f>
        <v>0</v>
      </c>
      <c r="AJ26" s="6" t="s">
        <v>7</v>
      </c>
      <c r="AK26" s="5" t="str">
        <f>IFERROR(AVERAGE(AK2,AK5,AK17,AK8,AK11,AK14),"")</f>
        <v/>
      </c>
      <c r="AL26" s="6" t="s">
        <v>7</v>
      </c>
    </row>
  </sheetData>
  <mergeCells count="45">
    <mergeCell ref="AJ17:AJ25"/>
    <mergeCell ref="AK17:AK25"/>
    <mergeCell ref="AL17:AL25"/>
    <mergeCell ref="AK2:AK4"/>
    <mergeCell ref="AK5:AK7"/>
    <mergeCell ref="AL2:AL4"/>
    <mergeCell ref="AL5:AL7"/>
    <mergeCell ref="AJ2:AJ4"/>
    <mergeCell ref="AJ5:AJ7"/>
    <mergeCell ref="AJ8:AJ10"/>
    <mergeCell ref="AK8:AK10"/>
    <mergeCell ref="AL8:AL10"/>
    <mergeCell ref="A26:AH26"/>
    <mergeCell ref="A1:C1"/>
    <mergeCell ref="B17:C17"/>
    <mergeCell ref="B18:C18"/>
    <mergeCell ref="B16:C16"/>
    <mergeCell ref="A2:A4"/>
    <mergeCell ref="B2:C2"/>
    <mergeCell ref="B3:C3"/>
    <mergeCell ref="B4:C4"/>
    <mergeCell ref="A5:A7"/>
    <mergeCell ref="B5:C5"/>
    <mergeCell ref="B6:C6"/>
    <mergeCell ref="B7:C7"/>
    <mergeCell ref="A8:A10"/>
    <mergeCell ref="B8:C8"/>
    <mergeCell ref="B9:C9"/>
    <mergeCell ref="B10:C10"/>
    <mergeCell ref="AJ14:AJ16"/>
    <mergeCell ref="AK14:AK16"/>
    <mergeCell ref="AL14:AL16"/>
    <mergeCell ref="B15:C15"/>
    <mergeCell ref="A11:A13"/>
    <mergeCell ref="B11:C11"/>
    <mergeCell ref="AJ11:AJ13"/>
    <mergeCell ref="AK11:AK13"/>
    <mergeCell ref="AL11:AL13"/>
    <mergeCell ref="B12:C12"/>
    <mergeCell ref="B13:C13"/>
    <mergeCell ref="A17:A25"/>
    <mergeCell ref="B19:B24"/>
    <mergeCell ref="B25:C25"/>
    <mergeCell ref="A14:A16"/>
    <mergeCell ref="B14:C1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조립 공정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2026-01-20T00:29:48Z</dcterms:created>
  <dcterms:modified xsi:type="dcterms:W3CDTF">2026-01-20T07:17:55Z</dcterms:modified>
</cp:coreProperties>
</file>